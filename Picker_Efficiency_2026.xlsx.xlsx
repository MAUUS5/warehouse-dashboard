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mmercialStaffing\Michelin US5\Production Trackers\2026\"/>
    </mc:Choice>
  </mc:AlternateContent>
  <xr:revisionPtr revIDLastSave="0" documentId="13_ncr:1_{BBB4C9FC-4801-4D8E-9BE5-492C5B4BD730}" xr6:coauthVersionLast="47" xr6:coauthVersionMax="47" xr10:uidLastSave="{00000000-0000-0000-0000-000000000000}"/>
  <bookViews>
    <workbookView xWindow="-120" yWindow="-120" windowWidth="29040" windowHeight="15720" firstSheet="1" activeTab="1" xr2:uid="{77D51983-20C9-4EA5-94EE-E224B597A9B4}"/>
  </bookViews>
  <sheets>
    <sheet name="Template" sheetId="2" r:id="rId1"/>
    <sheet name="Formulas" sheetId="1" r:id="rId2"/>
    <sheet name="Jan-26" sheetId="3" r:id="rId3"/>
    <sheet name="Feb-26" sheetId="4" r:id="rId4"/>
    <sheet name="March-26" sheetId="5" r:id="rId5"/>
    <sheet name="April-26" sheetId="6" r:id="rId6"/>
    <sheet name="May-26" sheetId="7" r:id="rId7"/>
    <sheet name="June-26" sheetId="8" r:id="rId8"/>
    <sheet name="July-26" sheetId="9" r:id="rId9"/>
    <sheet name="Aug-26" sheetId="10" r:id="rId10"/>
    <sheet name="Sept-26" sheetId="11" r:id="rId11"/>
    <sheet name="Oct-26" sheetId="12" r:id="rId12"/>
    <sheet name="Nov-26" sheetId="13" r:id="rId13"/>
    <sheet name="Dec-26" sheetId="14" r:id="rId14"/>
  </sheets>
  <definedNames>
    <definedName name="_xlnm._FilterDatabase" localSheetId="3" hidden="1">'Feb-26'!$D$6:$I$6</definedName>
    <definedName name="_xlnm._FilterDatabase" localSheetId="1" hidden="1">Formulas!$A$2:$B$2</definedName>
    <definedName name="_xlnm._FilterDatabase" localSheetId="2" hidden="1">'Jan-26'!$D$6:$I$6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I20" i="4" s="1"/>
  <c r="H15" i="4"/>
  <c r="I15" i="4" s="1"/>
  <c r="H21" i="4"/>
  <c r="I21" i="4" s="1"/>
  <c r="H19" i="4"/>
  <c r="I19" i="4" s="1"/>
  <c r="H14" i="4"/>
  <c r="I14" i="4" s="1"/>
  <c r="H22" i="4"/>
  <c r="I22" i="4" s="1"/>
  <c r="H18" i="4"/>
  <c r="I18" i="4" s="1"/>
  <c r="H13" i="4"/>
  <c r="I13" i="4" s="1"/>
  <c r="H9" i="4"/>
  <c r="I9" i="4" s="1"/>
  <c r="H16" i="4"/>
  <c r="I16" i="4" s="1"/>
  <c r="H11" i="4"/>
  <c r="I11" i="4" s="1"/>
  <c r="H7" i="4"/>
  <c r="I7" i="4" s="1"/>
  <c r="H17" i="4"/>
  <c r="I17" i="4" s="1"/>
  <c r="H12" i="4"/>
  <c r="I12" i="4" s="1"/>
  <c r="H10" i="4"/>
  <c r="I10" i="4" s="1"/>
  <c r="H8" i="4"/>
  <c r="I8" i="4" s="1"/>
  <c r="AP4" i="1" l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3" i="1"/>
  <c r="U4" i="1"/>
  <c r="AF4" i="1" s="1"/>
  <c r="AQ4" i="1" s="1"/>
  <c r="U5" i="1"/>
  <c r="AF5" i="1" s="1"/>
  <c r="AQ5" i="1" s="1"/>
  <c r="U6" i="1"/>
  <c r="AF6" i="1" s="1"/>
  <c r="AQ6" i="1" s="1"/>
  <c r="U7" i="1"/>
  <c r="AF7" i="1" s="1"/>
  <c r="AQ7" i="1" s="1"/>
  <c r="U8" i="1"/>
  <c r="AF8" i="1" s="1"/>
  <c r="AQ8" i="1" s="1"/>
  <c r="U9" i="1"/>
  <c r="AF9" i="1" s="1"/>
  <c r="AQ9" i="1" s="1"/>
  <c r="U10" i="1"/>
  <c r="AF10" i="1" s="1"/>
  <c r="AQ10" i="1" s="1"/>
  <c r="U11" i="1"/>
  <c r="AF11" i="1" s="1"/>
  <c r="AQ11" i="1" s="1"/>
  <c r="U12" i="1"/>
  <c r="AF12" i="1" s="1"/>
  <c r="AQ12" i="1" s="1"/>
  <c r="U13" i="1"/>
  <c r="AF13" i="1" s="1"/>
  <c r="AQ13" i="1" s="1"/>
  <c r="U14" i="1"/>
  <c r="AF14" i="1" s="1"/>
  <c r="AQ14" i="1" s="1"/>
  <c r="U15" i="1"/>
  <c r="AF15" i="1" s="1"/>
  <c r="AQ15" i="1" s="1"/>
  <c r="U16" i="1"/>
  <c r="AF16" i="1" s="1"/>
  <c r="AQ16" i="1" s="1"/>
  <c r="U17" i="1"/>
  <c r="AF17" i="1" s="1"/>
  <c r="AQ17" i="1" s="1"/>
  <c r="U18" i="1"/>
  <c r="AF18" i="1" s="1"/>
  <c r="AQ18" i="1" s="1"/>
  <c r="U3" i="1"/>
  <c r="AF3" i="1" s="1"/>
  <c r="AQ3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V16" i="1" s="1"/>
  <c r="K17" i="1"/>
  <c r="K18" i="1"/>
  <c r="K3" i="1"/>
  <c r="V8" i="1" l="1"/>
  <c r="AG8" i="1" s="1"/>
  <c r="AR8" i="1" s="1"/>
  <c r="V15" i="1"/>
  <c r="AG15" i="1" s="1"/>
  <c r="AR15" i="1" s="1"/>
  <c r="V6" i="1"/>
  <c r="AG6" i="1" s="1"/>
  <c r="AR6" i="1" s="1"/>
  <c r="V17" i="1"/>
  <c r="AG17" i="1" s="1"/>
  <c r="AR17" i="1" s="1"/>
  <c r="V9" i="1"/>
  <c r="AG9" i="1" s="1"/>
  <c r="AR9" i="1" s="1"/>
  <c r="V13" i="1"/>
  <c r="V7" i="1"/>
  <c r="AG7" i="1" s="1"/>
  <c r="AR7" i="1" s="1"/>
  <c r="V5" i="1"/>
  <c r="AG5" i="1" s="1"/>
  <c r="AR5" i="1" s="1"/>
  <c r="V14" i="1"/>
  <c r="AG14" i="1" s="1"/>
  <c r="AR14" i="1" s="1"/>
  <c r="V10" i="1"/>
  <c r="AG10" i="1" s="1"/>
  <c r="AR10" i="1" s="1"/>
  <c r="V18" i="1"/>
  <c r="AG18" i="1" s="1"/>
  <c r="AR18" i="1" s="1"/>
  <c r="V3" i="1"/>
  <c r="AG3" i="1" s="1"/>
  <c r="AR3" i="1" s="1"/>
  <c r="AG16" i="1"/>
  <c r="AR16" i="1" s="1"/>
  <c r="AG13" i="1"/>
  <c r="AR13" i="1" s="1"/>
  <c r="V11" i="1"/>
  <c r="AG11" i="1" s="1"/>
  <c r="AR11" i="1" s="1"/>
  <c r="V12" i="1"/>
  <c r="AG12" i="1" s="1"/>
  <c r="AR12" i="1" s="1"/>
  <c r="V4" i="1"/>
  <c r="AG4" i="1" s="1"/>
  <c r="AR4" i="1" s="1"/>
  <c r="H15" i="3" l="1"/>
  <c r="I15" i="3" s="1"/>
  <c r="H13" i="3"/>
  <c r="I13" i="3" s="1"/>
  <c r="H14" i="3"/>
  <c r="I14" i="3" s="1"/>
  <c r="H9" i="3"/>
  <c r="I9" i="3" s="1"/>
  <c r="H18" i="3"/>
  <c r="I18" i="3" s="1"/>
  <c r="H10" i="3"/>
  <c r="I10" i="3" s="1"/>
  <c r="H12" i="3"/>
  <c r="I12" i="3" s="1"/>
  <c r="H19" i="3"/>
  <c r="I19" i="3" s="1"/>
  <c r="H8" i="3"/>
  <c r="I8" i="3" s="1"/>
  <c r="H11" i="3"/>
  <c r="I11" i="3" s="1"/>
  <c r="H16" i="3"/>
  <c r="I16" i="3" s="1"/>
  <c r="H7" i="3"/>
  <c r="I7" i="3" s="1"/>
  <c r="H17" i="3" l="1"/>
  <c r="I17" i="3" l="1"/>
</calcChain>
</file>

<file path=xl/sharedStrings.xml><?xml version="1.0" encoding="utf-8"?>
<sst xmlns="http://schemas.openxmlformats.org/spreadsheetml/2006/main" count="221" uniqueCount="55">
  <si>
    <t>Pickers</t>
  </si>
  <si>
    <t>Totals</t>
  </si>
  <si>
    <t>First</t>
  </si>
  <si>
    <t>Last</t>
  </si>
  <si>
    <t>Hours WK 1</t>
  </si>
  <si>
    <t>Pallets Picked</t>
  </si>
  <si>
    <t>Hours WK 2</t>
  </si>
  <si>
    <t>Total Hours</t>
  </si>
  <si>
    <t>Total Pallets Picked</t>
  </si>
  <si>
    <t>Hours WK 3</t>
  </si>
  <si>
    <t>Hours WK 4</t>
  </si>
  <si>
    <t xml:space="preserve">Picker Efficiency </t>
  </si>
  <si>
    <t>Rank</t>
  </si>
  <si>
    <t>Hours Worked</t>
  </si>
  <si>
    <t>Pallets / hr.</t>
  </si>
  <si>
    <t>12 hr. Projection</t>
  </si>
  <si>
    <t>Picker Efficiency January 2026</t>
  </si>
  <si>
    <t>Gregory</t>
  </si>
  <si>
    <t>Brown</t>
  </si>
  <si>
    <t>Johnathan</t>
  </si>
  <si>
    <t>Ermel</t>
  </si>
  <si>
    <t>Jaren</t>
  </si>
  <si>
    <t>Martinez</t>
  </si>
  <si>
    <t>David</t>
  </si>
  <si>
    <t>Kearse</t>
  </si>
  <si>
    <t>Bendrix</t>
  </si>
  <si>
    <t>Hook</t>
  </si>
  <si>
    <t>Desmond</t>
  </si>
  <si>
    <t>Ledell</t>
  </si>
  <si>
    <t>Makaela</t>
  </si>
  <si>
    <t>Culler</t>
  </si>
  <si>
    <t>Travis</t>
  </si>
  <si>
    <t>Abney</t>
  </si>
  <si>
    <t>Armando</t>
  </si>
  <si>
    <t>Avalos</t>
  </si>
  <si>
    <t>George</t>
  </si>
  <si>
    <t>Harris</t>
  </si>
  <si>
    <t>Akeem</t>
  </si>
  <si>
    <t>Bouknight</t>
  </si>
  <si>
    <t>Thomas</t>
  </si>
  <si>
    <t>Jones</t>
  </si>
  <si>
    <t>Jaylon</t>
  </si>
  <si>
    <t>Williams</t>
  </si>
  <si>
    <t>Trynatee</t>
  </si>
  <si>
    <t>Douse</t>
  </si>
  <si>
    <t>Zavius</t>
  </si>
  <si>
    <t>Calloway</t>
  </si>
  <si>
    <t>Austin</t>
  </si>
  <si>
    <t>Hickox</t>
  </si>
  <si>
    <t>2.01.26-2.07.26</t>
  </si>
  <si>
    <t>2.08.26-2.14.26</t>
  </si>
  <si>
    <t>2.15.26-2.21.26</t>
  </si>
  <si>
    <t>2.22.26-2.28.26</t>
  </si>
  <si>
    <t>Picker Efficiency February 2026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</si>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</sst>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72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36"/>
      <name val="Aptos Narrow"/>
      <family val="2"/>
      <scheme val="minor"/>
    </font>
    <font>
      <sz val="26"/>
      <name val="Aptos Narrow"/>
      <family val="2"/>
      <scheme val="minor"/>
    </font>
    <font>
      <sz val="26"/>
      <name val="Calibri"/>
      <family val="2"/>
    </font>
    <font>
      <b/>
      <sz val="48"/>
      <color theme="0"/>
      <name val="Aptos Narrow"/>
      <family val="2"/>
      <scheme val="minor"/>
    </font>
    <font>
      <b/>
      <sz val="48"/>
      <color theme="0"/>
      <name val="Calibri"/>
      <family val="2"/>
    </font>
    <font>
      <b/>
      <sz val="48"/>
      <name val="Aptos Narrow"/>
      <family val="2"/>
      <scheme val="minor"/>
    </font>
    <font>
      <b/>
      <sz val="48"/>
      <name val="Calibri"/>
      <family val="2"/>
    </font>
    <font>
      <sz val="26"/>
      <color theme="1"/>
      <name val="Aptos Narrow"/>
      <family val="2"/>
      <scheme val="minor"/>
    </font>
    <font>
      <sz val="26"/>
      <color theme="1"/>
      <name val="Calibri"/>
      <family val="2"/>
    </font>
    <font>
      <b/>
      <sz val="4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DC8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05">
    <xf numFmtId="0" fontId="0" fillId="0" borderId="0" xfId="0"/>
    <xf numFmtId="0" fontId="4" fillId="5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3" fontId="1" fillId="8" borderId="1" xfId="1" applyNumberFormat="1" applyFill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1" fontId="1" fillId="8" borderId="1" xfId="1" applyNumberFormat="1" applyFill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wrapText="1"/>
    </xf>
    <xf numFmtId="2" fontId="11" fillId="10" borderId="1" xfId="0" applyNumberFormat="1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wrapText="1"/>
    </xf>
    <xf numFmtId="2" fontId="13" fillId="11" borderId="1" xfId="0" applyNumberFormat="1" applyFont="1" applyFill="1" applyBorder="1" applyAlignment="1">
      <alignment horizontal="center" vertical="center"/>
    </xf>
    <xf numFmtId="3" fontId="13" fillId="11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wrapText="1"/>
    </xf>
    <xf numFmtId="2" fontId="13" fillId="13" borderId="1" xfId="0" applyNumberFormat="1" applyFont="1" applyFill="1" applyBorder="1" applyAlignment="1">
      <alignment horizontal="center" vertical="center"/>
    </xf>
    <xf numFmtId="3" fontId="13" fillId="13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 wrapText="1"/>
    </xf>
    <xf numFmtId="2" fontId="13" fillId="12" borderId="1" xfId="0" applyNumberFormat="1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 wrapText="1"/>
    </xf>
    <xf numFmtId="2" fontId="13" fillId="14" borderId="1" xfId="0" applyNumberFormat="1" applyFont="1" applyFill="1" applyBorder="1" applyAlignment="1">
      <alignment horizontal="center" vertical="center"/>
    </xf>
    <xf numFmtId="3" fontId="13" fillId="14" borderId="1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" fontId="13" fillId="12" borderId="1" xfId="0" applyNumberFormat="1" applyFont="1" applyFill="1" applyBorder="1" applyAlignment="1">
      <alignment horizontal="center" vertical="center"/>
    </xf>
    <xf numFmtId="2" fontId="13" fillId="14" borderId="1" xfId="0" applyNumberFormat="1" applyFont="1" applyFill="1" applyBorder="1" applyAlignment="1">
      <alignment horizontal="center"/>
    </xf>
    <xf numFmtId="3" fontId="13" fillId="14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2" fontId="1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" fillId="15" borderId="1" xfId="1" applyNumberFormat="1" applyFill="1" applyBorder="1" applyAlignment="1">
      <alignment horizontal="center" vertical="center"/>
    </xf>
    <xf numFmtId="0" fontId="1" fillId="15" borderId="1" xfId="1" applyFill="1" applyBorder="1" applyAlignment="1">
      <alignment horizontal="center" vertical="center"/>
    </xf>
    <xf numFmtId="1" fontId="1" fillId="15" borderId="1" xfId="1" applyNumberFormat="1" applyFill="1" applyBorder="1" applyAlignment="1">
      <alignment horizontal="center" vertical="center"/>
    </xf>
    <xf numFmtId="1" fontId="1" fillId="15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164" fontId="13" fillId="0" borderId="1" xfId="2" applyNumberFormat="1" applyFont="1" applyBorder="1" applyAlignment="1">
      <alignment horizontal="center" vertical="center" wrapText="1"/>
    </xf>
    <xf numFmtId="3" fontId="13" fillId="0" borderId="1" xfId="2" applyNumberFormat="1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3" fontId="17" fillId="11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3" fontId="17" fillId="13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3" fontId="17" fillId="12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3" fontId="17" fillId="14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 wrapText="1"/>
    </xf>
    <xf numFmtId="2" fontId="13" fillId="16" borderId="1" xfId="0" applyNumberFormat="1" applyFont="1" applyFill="1" applyBorder="1" applyAlignment="1">
      <alignment horizontal="center" vertical="center"/>
    </xf>
    <xf numFmtId="3" fontId="13" fillId="16" borderId="1" xfId="0" applyNumberFormat="1" applyFont="1" applyFill="1" applyBorder="1" applyAlignment="1">
      <alignment horizontal="center" vertical="center"/>
    </xf>
    <xf numFmtId="3" fontId="17" fillId="16" borderId="1" xfId="0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9" borderId="7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Normal" xfId="0" builtinId="0"/>
    <cellStyle name="Normal 2" xfId="1" xr:uid="{00558062-4266-475B-ABF5-8B8BDF4E7C29}"/>
    <cellStyle name="Normal 5" xfId="2" xr:uid="{5A59F91C-2DB0-4914-A06F-F2AC14BA8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F63C4F6-1207-4ED0-A4D7-2DF94DA64E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2678537" y="170021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D1FC7F1-93C6-4F31-B085-1C9D72E92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EC388E2-8A50-4ED6-A4EF-89F748D43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F1C37D08-322A-4F1E-8008-94B2DD0AC1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B19A4A7-93A3-434B-8633-A0FDF294A7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C0EB7E98-B0A0-4B53-B58C-CA33001E7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B25ED6-1ADE-4DBE-9662-B567286FB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282CD481-8926-4C0C-8DEC-79BFA4FCC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8A131CB-AA4D-43B2-9C61-2B77DF83B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3CCDAF42-2D96-403C-9838-91A47D0F61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EFC97DF-2A9E-417A-9456-5D58090BB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247D23F6-953A-49CE-BCF9-232263EB3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0C29CA-EFBE-48B2-900E-01CC1D93B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49EF60B8-4E8E-4AC5-AAAB-89D42B2EE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E6A816A-CB4D-41E6-B0BD-1A153FD0D4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CC3157F3-5375-4E11-B662-AA9D34E498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FB6437E-7B05-48CA-A464-B64DF3309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C2AC8DA5-436E-4442-836D-324EB70AC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A4BA724-3F42-4BB5-9F58-92255E80E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0078C777-BF71-445D-8F3E-074F4E0E1A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92312C-533D-4510-8E2F-94537E824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CC8E8AC4-078A-439C-9F73-C942CE0D2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71FC5E8-F6BA-497C-9867-96D3DBAA9B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</xdr:col>
      <xdr:colOff>268712</xdr:colOff>
      <xdr:row>2</xdr:row>
      <xdr:rowOff>119060</xdr:rowOff>
    </xdr:from>
    <xdr:ext cx="3857475" cy="1452563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952DF4D0-B275-4394-B1ED-63F0D20D9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1259312" y="1338260"/>
          <a:ext cx="3857475" cy="14525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395E-46A3-4633-895A-04EF366DC8BE}">
  <sheetPr>
    <tabColor theme="8" tint="0.39997558519241921"/>
  </sheetPr>
  <dimension ref="B1:J27"/>
  <sheetViews>
    <sheetView topLeftCell="A3" zoomScale="55" zoomScaleNormal="55" workbookViewId="0">
      <selection activeCell="A3"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1CB4-40F1-4BCD-887D-0F00D16F783D}">
  <sheetPr>
    <tabColor theme="9" tint="0.39997558519241921"/>
  </sheetPr>
  <dimension ref="A1:AR18"/>
  <sheetViews>
    <sheetView tabSelected="1" workbookViewId="0">
      <selection activeCell="AB2" sqref="AB1:AB1048576"/>
    </sheetView>
  </sheetViews>
  <sheetFormatPr defaultColWidth="8" defaultRowHeight="15.75" x14ac:dyDescent="0.25"/>
  <cols>
    <col min="1" max="1" width="14.125" style="3" customWidth="1"/>
    <col min="2" max="2" width="11.5" style="3" customWidth="1"/>
    <col min="3" max="3" width="7" style="3" hidden="1" customWidth="1"/>
    <col min="4" max="10" width="5.875" style="3" hidden="1" customWidth="1"/>
    <col min="11" max="11" width="9.125" style="3" hidden="1" customWidth="1"/>
    <col min="12" max="12" width="6.75" style="3" hidden="1" customWidth="1"/>
    <col min="13" max="19" width="5.875" style="3" hidden="1" customWidth="1"/>
    <col min="20" max="22" width="9.125" style="3" hidden="1" customWidth="1"/>
    <col min="23" max="23" width="6.75" style="3" customWidth="1"/>
    <col min="24" max="24" width="6.875" style="3" hidden="1" customWidth="1"/>
    <col min="25" max="28" width="5.875" style="3" hidden="1" customWidth="1"/>
    <col min="29" max="30" width="5.875" style="3" customWidth="1"/>
    <col min="31" max="31" width="8.375" style="3" customWidth="1"/>
    <col min="32" max="32" width="6.625" style="3" customWidth="1"/>
    <col min="33" max="33" width="6.125" style="3" customWidth="1"/>
    <col min="34" max="44" width="7.375" style="3" customWidth="1"/>
    <col min="45" max="16384" width="8" style="3"/>
  </cols>
  <sheetData>
    <row r="1" spans="1:44" ht="32.25" x14ac:dyDescent="0.25">
      <c r="A1" s="90" t="s">
        <v>0</v>
      </c>
      <c r="B1" s="90"/>
      <c r="C1" s="91" t="s">
        <v>49</v>
      </c>
      <c r="D1" s="91"/>
      <c r="E1" s="91"/>
      <c r="F1" s="91"/>
      <c r="G1" s="91"/>
      <c r="H1" s="91"/>
      <c r="I1" s="91"/>
      <c r="J1" s="91"/>
      <c r="K1" s="49" t="s">
        <v>1</v>
      </c>
      <c r="L1" s="92" t="s">
        <v>50</v>
      </c>
      <c r="M1" s="93"/>
      <c r="N1" s="93"/>
      <c r="O1" s="93"/>
      <c r="P1" s="93"/>
      <c r="Q1" s="93"/>
      <c r="R1" s="93"/>
      <c r="S1" s="94"/>
      <c r="T1" s="92" t="s">
        <v>1</v>
      </c>
      <c r="U1" s="94"/>
      <c r="V1" s="50" t="s">
        <v>1</v>
      </c>
      <c r="W1" s="89" t="s">
        <v>51</v>
      </c>
      <c r="X1" s="89"/>
      <c r="Y1" s="89"/>
      <c r="Z1" s="89"/>
      <c r="AA1" s="89"/>
      <c r="AB1" s="89"/>
      <c r="AC1" s="89"/>
      <c r="AD1" s="89"/>
      <c r="AE1" s="1"/>
      <c r="AF1" s="85" t="s">
        <v>1</v>
      </c>
      <c r="AG1" s="85"/>
      <c r="AH1" s="86" t="s">
        <v>52</v>
      </c>
      <c r="AI1" s="87"/>
      <c r="AJ1" s="87"/>
      <c r="AK1" s="87"/>
      <c r="AL1" s="87"/>
      <c r="AM1" s="87"/>
      <c r="AN1" s="87"/>
      <c r="AO1" s="88"/>
      <c r="AP1" s="2"/>
      <c r="AQ1" s="85" t="s">
        <v>1</v>
      </c>
      <c r="AR1" s="85"/>
    </row>
    <row r="2" spans="1:44" ht="54.75" customHeight="1" x14ac:dyDescent="0.25">
      <c r="A2" s="4" t="s">
        <v>2</v>
      </c>
      <c r="B2" s="4" t="s">
        <v>3</v>
      </c>
      <c r="C2" s="5" t="s">
        <v>4</v>
      </c>
      <c r="D2" s="6">
        <v>2.0099999999999998</v>
      </c>
      <c r="E2" s="6">
        <v>2.02</v>
      </c>
      <c r="F2" s="6">
        <v>2.0299999999999998</v>
      </c>
      <c r="G2" s="6">
        <v>2.04</v>
      </c>
      <c r="H2" s="6">
        <v>2.0499999999999998</v>
      </c>
      <c r="I2" s="6">
        <v>2.06</v>
      </c>
      <c r="J2" s="6">
        <v>2.0699999999999998</v>
      </c>
      <c r="K2" s="7" t="s">
        <v>5</v>
      </c>
      <c r="L2" s="5" t="s">
        <v>6</v>
      </c>
      <c r="M2" s="6">
        <v>2.08</v>
      </c>
      <c r="N2" s="6">
        <v>2.09</v>
      </c>
      <c r="O2" s="6">
        <v>2.1</v>
      </c>
      <c r="P2" s="6">
        <v>2.11</v>
      </c>
      <c r="Q2" s="6" t="s">
        <v>54</v>
      </c>
      <c r="R2" s="6">
        <v>2.13</v>
      </c>
      <c r="S2" s="6">
        <v>2.14</v>
      </c>
      <c r="T2" s="8" t="s">
        <v>5</v>
      </c>
      <c r="U2" s="8" t="s">
        <v>7</v>
      </c>
      <c r="V2" s="7" t="s">
        <v>8</v>
      </c>
      <c r="W2" s="5" t="s">
        <v>9</v>
      </c>
      <c r="X2" s="6">
        <v>2.15</v>
      </c>
      <c r="Y2" s="6">
        <v>2.16</v>
      </c>
      <c r="Z2" s="6">
        <v>2.17</v>
      </c>
      <c r="AA2" s="6">
        <v>2.1800000000000002</v>
      </c>
      <c r="AB2" s="6">
        <v>2.19</v>
      </c>
      <c r="AC2" s="6">
        <v>2.2000000000000002</v>
      </c>
      <c r="AD2" s="9">
        <v>2.21</v>
      </c>
      <c r="AE2" s="8" t="s">
        <v>5</v>
      </c>
      <c r="AF2" s="8" t="s">
        <v>7</v>
      </c>
      <c r="AG2" s="7" t="s">
        <v>8</v>
      </c>
      <c r="AH2" s="5" t="s">
        <v>10</v>
      </c>
      <c r="AI2" s="6">
        <v>2.2200000000000002</v>
      </c>
      <c r="AJ2" s="6">
        <v>2.23</v>
      </c>
      <c r="AK2" s="6">
        <v>2.2400000000000002</v>
      </c>
      <c r="AL2" s="6">
        <v>2.25</v>
      </c>
      <c r="AM2" s="6">
        <v>2.2599999999999998</v>
      </c>
      <c r="AN2" s="6">
        <v>2.27</v>
      </c>
      <c r="AO2" s="6">
        <v>2.2799999999999998</v>
      </c>
      <c r="AP2" s="8" t="s">
        <v>5</v>
      </c>
      <c r="AQ2" s="8" t="s">
        <v>7</v>
      </c>
      <c r="AR2" s="7" t="s">
        <v>8</v>
      </c>
    </row>
    <row r="3" spans="1:44" ht="15.75" customHeight="1" x14ac:dyDescent="0.25">
      <c r="A3" s="4" t="s">
        <v>31</v>
      </c>
      <c r="B3" s="4" t="s">
        <v>32</v>
      </c>
      <c r="C3" s="10">
        <v>41.5</v>
      </c>
      <c r="D3" s="58"/>
      <c r="E3" s="11">
        <v>116</v>
      </c>
      <c r="F3" s="12">
        <v>121</v>
      </c>
      <c r="G3" s="12">
        <v>159</v>
      </c>
      <c r="H3" s="12"/>
      <c r="I3" s="12">
        <v>188</v>
      </c>
      <c r="J3" s="12">
        <v>120</v>
      </c>
      <c r="K3" s="12">
        <f>SUM(D3:J3)</f>
        <v>704</v>
      </c>
      <c r="L3" s="10">
        <v>30.75</v>
      </c>
      <c r="M3" s="12">
        <v>195</v>
      </c>
      <c r="N3" s="12"/>
      <c r="O3" s="4"/>
      <c r="P3" s="12">
        <v>165</v>
      </c>
      <c r="Q3" s="12">
        <v>170</v>
      </c>
      <c r="R3" s="12"/>
      <c r="S3" s="12"/>
      <c r="T3" s="12">
        <f>SUM(M3:S3)</f>
        <v>530</v>
      </c>
      <c r="U3" s="10">
        <f>C3+L3</f>
        <v>72.25</v>
      </c>
      <c r="V3" s="12">
        <f>K3+T3</f>
        <v>1234</v>
      </c>
      <c r="W3" s="10"/>
      <c r="X3" s="12"/>
      <c r="Y3" s="12">
        <v>95</v>
      </c>
      <c r="Z3" s="12">
        <v>192</v>
      </c>
      <c r="AA3" s="12"/>
      <c r="AB3" s="4"/>
      <c r="AC3" s="12"/>
      <c r="AD3" s="11"/>
      <c r="AE3" s="12">
        <f>SUM(X3:AD3)</f>
        <v>287</v>
      </c>
      <c r="AF3" s="10">
        <f>U3+W3</f>
        <v>72.25</v>
      </c>
      <c r="AG3" s="12">
        <f>AE3+V3</f>
        <v>1521</v>
      </c>
      <c r="AH3" s="10"/>
      <c r="AI3" s="12"/>
      <c r="AJ3" s="12"/>
      <c r="AK3" s="12"/>
      <c r="AL3" s="12"/>
      <c r="AM3" s="12"/>
      <c r="AN3" s="12"/>
      <c r="AO3" s="12"/>
      <c r="AP3" s="12">
        <f>SUM(AI3:AO3)</f>
        <v>0</v>
      </c>
      <c r="AQ3" s="10">
        <f>AH3+AF3</f>
        <v>72.25</v>
      </c>
      <c r="AR3" s="12">
        <f>AP3+AG3</f>
        <v>1521</v>
      </c>
    </row>
    <row r="4" spans="1:44" ht="15.75" customHeight="1" x14ac:dyDescent="0.25">
      <c r="A4" s="4" t="s">
        <v>33</v>
      </c>
      <c r="B4" s="4" t="s">
        <v>34</v>
      </c>
      <c r="C4" s="10">
        <v>17.75</v>
      </c>
      <c r="D4" s="59"/>
      <c r="E4" s="4"/>
      <c r="F4" s="4"/>
      <c r="G4" s="4"/>
      <c r="H4" s="4"/>
      <c r="I4" s="4">
        <v>53</v>
      </c>
      <c r="J4" s="4"/>
      <c r="K4" s="12">
        <f t="shared" ref="K4:K18" si="0">SUM(D4:J4)</f>
        <v>53</v>
      </c>
      <c r="L4" s="10">
        <v>28.5</v>
      </c>
      <c r="M4" s="4"/>
      <c r="N4" s="4">
        <v>36</v>
      </c>
      <c r="O4" s="4">
        <v>126</v>
      </c>
      <c r="P4" s="4"/>
      <c r="Q4" s="4"/>
      <c r="R4" s="4">
        <v>140</v>
      </c>
      <c r="S4" s="4"/>
      <c r="T4" s="12">
        <f t="shared" ref="T4:T18" si="1">SUM(M4:S4)</f>
        <v>302</v>
      </c>
      <c r="U4" s="10">
        <f t="shared" ref="U4:U18" si="2">C4+L4</f>
        <v>46.25</v>
      </c>
      <c r="V4" s="12">
        <f t="shared" ref="V4:V18" si="3">K4+T4</f>
        <v>355</v>
      </c>
      <c r="W4" s="10"/>
      <c r="X4" s="4">
        <v>104</v>
      </c>
      <c r="Y4" s="4"/>
      <c r="Z4" s="4"/>
      <c r="AA4" s="4">
        <v>127</v>
      </c>
      <c r="AB4" s="4">
        <v>78</v>
      </c>
      <c r="AC4" s="4"/>
      <c r="AD4" s="4"/>
      <c r="AE4" s="12">
        <f t="shared" ref="AE4:AE18" si="4">SUM(X4:AD4)</f>
        <v>309</v>
      </c>
      <c r="AF4" s="10">
        <f t="shared" ref="AF4:AF18" si="5">U4+W4</f>
        <v>46.25</v>
      </c>
      <c r="AG4" s="12">
        <f t="shared" ref="AG4:AG18" si="6">AE4+V4</f>
        <v>664</v>
      </c>
      <c r="AH4" s="10"/>
      <c r="AI4" s="12"/>
      <c r="AJ4" s="12"/>
      <c r="AK4" s="12"/>
      <c r="AL4" s="12"/>
      <c r="AM4" s="12"/>
      <c r="AN4" s="12"/>
      <c r="AO4" s="12"/>
      <c r="AP4" s="12">
        <f t="shared" ref="AP4:AP18" si="7">SUM(AI4:AO4)</f>
        <v>0</v>
      </c>
      <c r="AQ4" s="10">
        <f t="shared" ref="AQ4:AQ18" si="8">AH4+AF4</f>
        <v>46.25</v>
      </c>
      <c r="AR4" s="12">
        <f t="shared" ref="AR4:AR18" si="9">AP4+AG4</f>
        <v>664</v>
      </c>
    </row>
    <row r="5" spans="1:44" ht="15.75" customHeight="1" x14ac:dyDescent="0.25">
      <c r="A5" s="4" t="s">
        <v>37</v>
      </c>
      <c r="B5" s="4" t="s">
        <v>38</v>
      </c>
      <c r="C5" s="10">
        <v>19.75</v>
      </c>
      <c r="D5" s="58"/>
      <c r="E5" s="11">
        <v>139</v>
      </c>
      <c r="F5" s="12"/>
      <c r="G5" s="12"/>
      <c r="H5" s="12"/>
      <c r="I5" s="12"/>
      <c r="J5" s="12"/>
      <c r="K5" s="12">
        <f t="shared" si="0"/>
        <v>139</v>
      </c>
      <c r="L5" s="10">
        <v>27.75</v>
      </c>
      <c r="M5" s="12">
        <v>156</v>
      </c>
      <c r="N5" s="12"/>
      <c r="O5" s="4">
        <v>40</v>
      </c>
      <c r="P5" s="12"/>
      <c r="Q5" s="12"/>
      <c r="R5" s="12"/>
      <c r="S5" s="12">
        <v>112</v>
      </c>
      <c r="T5" s="12">
        <f t="shared" si="1"/>
        <v>308</v>
      </c>
      <c r="U5" s="10">
        <f t="shared" si="2"/>
        <v>47.5</v>
      </c>
      <c r="V5" s="12">
        <f t="shared" si="3"/>
        <v>447</v>
      </c>
      <c r="W5" s="10"/>
      <c r="X5" s="12">
        <v>183</v>
      </c>
      <c r="Y5" s="12">
        <v>80</v>
      </c>
      <c r="Z5" s="12">
        <v>116</v>
      </c>
      <c r="AA5" s="12"/>
      <c r="AC5" s="12"/>
      <c r="AD5" s="11"/>
      <c r="AE5" s="12">
        <f t="shared" si="4"/>
        <v>379</v>
      </c>
      <c r="AF5" s="10">
        <f t="shared" si="5"/>
        <v>47.5</v>
      </c>
      <c r="AG5" s="12">
        <f t="shared" si="6"/>
        <v>826</v>
      </c>
      <c r="AH5" s="10"/>
      <c r="AI5" s="12"/>
      <c r="AJ5" s="12"/>
      <c r="AK5" s="12"/>
      <c r="AL5" s="12"/>
      <c r="AM5" s="12"/>
      <c r="AN5" s="12"/>
      <c r="AO5" s="12"/>
      <c r="AP5" s="12">
        <f t="shared" si="7"/>
        <v>0</v>
      </c>
      <c r="AQ5" s="10">
        <f t="shared" si="8"/>
        <v>47.5</v>
      </c>
      <c r="AR5" s="12">
        <f t="shared" si="9"/>
        <v>826</v>
      </c>
    </row>
    <row r="6" spans="1:44" ht="15.75" customHeight="1" x14ac:dyDescent="0.25">
      <c r="A6" s="4" t="s">
        <v>17</v>
      </c>
      <c r="B6" s="4" t="s">
        <v>18</v>
      </c>
      <c r="C6" s="10">
        <v>29.75</v>
      </c>
      <c r="D6" s="58"/>
      <c r="E6" s="11"/>
      <c r="F6" s="12">
        <v>49</v>
      </c>
      <c r="G6" s="12">
        <v>39</v>
      </c>
      <c r="H6" s="12"/>
      <c r="I6" s="12"/>
      <c r="J6" s="12"/>
      <c r="K6" s="12">
        <f t="shared" si="0"/>
        <v>88</v>
      </c>
      <c r="L6" s="10">
        <v>23.75</v>
      </c>
      <c r="M6" s="12"/>
      <c r="N6" s="12">
        <v>152</v>
      </c>
      <c r="O6" s="12">
        <v>170</v>
      </c>
      <c r="P6" s="12"/>
      <c r="Q6" s="12"/>
      <c r="R6" s="12"/>
      <c r="S6" s="12"/>
      <c r="T6" s="12">
        <f t="shared" si="1"/>
        <v>322</v>
      </c>
      <c r="U6" s="10">
        <f t="shared" si="2"/>
        <v>53.5</v>
      </c>
      <c r="V6" s="12">
        <f t="shared" si="3"/>
        <v>410</v>
      </c>
      <c r="W6" s="10"/>
      <c r="X6" s="12"/>
      <c r="Y6" s="12"/>
      <c r="Z6" s="12"/>
      <c r="AA6" s="12">
        <v>204</v>
      </c>
      <c r="AB6" s="12">
        <v>191</v>
      </c>
      <c r="AC6" s="12"/>
      <c r="AD6" s="11"/>
      <c r="AE6" s="12">
        <f t="shared" si="4"/>
        <v>395</v>
      </c>
      <c r="AF6" s="10">
        <f t="shared" si="5"/>
        <v>53.5</v>
      </c>
      <c r="AG6" s="12">
        <f t="shared" si="6"/>
        <v>805</v>
      </c>
      <c r="AH6" s="10"/>
      <c r="AI6" s="12"/>
      <c r="AJ6" s="12"/>
      <c r="AK6" s="12"/>
      <c r="AL6" s="12"/>
      <c r="AM6" s="12"/>
      <c r="AN6" s="12"/>
      <c r="AO6" s="12"/>
      <c r="AP6" s="12">
        <f t="shared" si="7"/>
        <v>0</v>
      </c>
      <c r="AQ6" s="10">
        <f t="shared" si="8"/>
        <v>53.5</v>
      </c>
      <c r="AR6" s="12">
        <f t="shared" si="9"/>
        <v>805</v>
      </c>
    </row>
    <row r="7" spans="1:44" ht="15.75" customHeight="1" x14ac:dyDescent="0.25">
      <c r="A7" s="4" t="s">
        <v>45</v>
      </c>
      <c r="B7" s="4" t="s">
        <v>46</v>
      </c>
      <c r="C7" s="10">
        <v>38.25</v>
      </c>
      <c r="D7" s="58"/>
      <c r="E7" s="11">
        <v>170</v>
      </c>
      <c r="F7" s="12">
        <v>146</v>
      </c>
      <c r="G7" s="12">
        <v>19</v>
      </c>
      <c r="H7" s="12"/>
      <c r="I7" s="12">
        <v>86</v>
      </c>
      <c r="J7" s="12"/>
      <c r="K7" s="12">
        <f t="shared" si="0"/>
        <v>421</v>
      </c>
      <c r="L7" s="10">
        <v>37.5</v>
      </c>
      <c r="M7" s="12">
        <v>150</v>
      </c>
      <c r="N7" s="12"/>
      <c r="O7" s="12"/>
      <c r="P7" s="12"/>
      <c r="Q7" s="12"/>
      <c r="R7" s="12">
        <v>17</v>
      </c>
      <c r="S7" s="12"/>
      <c r="T7" s="12">
        <f t="shared" si="1"/>
        <v>167</v>
      </c>
      <c r="U7" s="10">
        <f t="shared" si="2"/>
        <v>75.75</v>
      </c>
      <c r="V7" s="12">
        <f t="shared" si="3"/>
        <v>588</v>
      </c>
      <c r="W7" s="10"/>
      <c r="X7" s="12"/>
      <c r="Y7" s="12"/>
      <c r="Z7" s="12">
        <v>195</v>
      </c>
      <c r="AA7" s="12"/>
      <c r="AB7" s="12"/>
      <c r="AC7" s="12"/>
      <c r="AD7" s="11"/>
      <c r="AE7" s="12">
        <f t="shared" si="4"/>
        <v>195</v>
      </c>
      <c r="AF7" s="10">
        <f t="shared" si="5"/>
        <v>75.75</v>
      </c>
      <c r="AG7" s="12">
        <f t="shared" si="6"/>
        <v>783</v>
      </c>
      <c r="AH7" s="10"/>
      <c r="AI7" s="12"/>
      <c r="AJ7" s="12"/>
      <c r="AK7" s="12"/>
      <c r="AL7" s="12"/>
      <c r="AM7" s="12"/>
      <c r="AN7" s="12"/>
      <c r="AO7" s="12"/>
      <c r="AP7" s="12">
        <f t="shared" si="7"/>
        <v>0</v>
      </c>
      <c r="AQ7" s="10">
        <f t="shared" si="8"/>
        <v>75.75</v>
      </c>
      <c r="AR7" s="12">
        <f t="shared" si="9"/>
        <v>783</v>
      </c>
    </row>
    <row r="8" spans="1:44" ht="15.75" customHeight="1" x14ac:dyDescent="0.25">
      <c r="A8" s="4" t="s">
        <v>29</v>
      </c>
      <c r="B8" s="4" t="s">
        <v>30</v>
      </c>
      <c r="C8" s="10">
        <v>46.75</v>
      </c>
      <c r="D8" s="59"/>
      <c r="E8" s="4">
        <v>14</v>
      </c>
      <c r="F8" s="4"/>
      <c r="G8" s="4">
        <v>206</v>
      </c>
      <c r="H8" s="4">
        <v>200</v>
      </c>
      <c r="I8" s="4">
        <v>80</v>
      </c>
      <c r="J8" s="4"/>
      <c r="K8" s="12">
        <f t="shared" si="0"/>
        <v>500</v>
      </c>
      <c r="L8" s="10">
        <v>40.75</v>
      </c>
      <c r="M8" s="4"/>
      <c r="N8" s="4"/>
      <c r="O8" s="4">
        <v>123</v>
      </c>
      <c r="P8" s="4"/>
      <c r="Q8" s="4"/>
      <c r="R8" s="4">
        <v>121</v>
      </c>
      <c r="S8" s="4">
        <v>80</v>
      </c>
      <c r="T8" s="12">
        <f t="shared" si="1"/>
        <v>324</v>
      </c>
      <c r="U8" s="10">
        <f t="shared" si="2"/>
        <v>87.5</v>
      </c>
      <c r="V8" s="12">
        <f t="shared" si="3"/>
        <v>824</v>
      </c>
      <c r="W8" s="10"/>
      <c r="X8" s="4"/>
      <c r="Y8" s="4"/>
      <c r="Z8" s="4"/>
      <c r="AA8" s="4">
        <v>90</v>
      </c>
      <c r="AB8" s="4">
        <v>100</v>
      </c>
      <c r="AC8" s="4"/>
      <c r="AD8" s="4"/>
      <c r="AE8" s="12">
        <f t="shared" si="4"/>
        <v>190</v>
      </c>
      <c r="AF8" s="10">
        <f t="shared" si="5"/>
        <v>87.5</v>
      </c>
      <c r="AG8" s="12">
        <f t="shared" si="6"/>
        <v>1014</v>
      </c>
      <c r="AH8" s="10"/>
      <c r="AI8" s="12"/>
      <c r="AJ8" s="12"/>
      <c r="AK8" s="12"/>
      <c r="AL8" s="12"/>
      <c r="AM8" s="12"/>
      <c r="AN8" s="12"/>
      <c r="AO8" s="12"/>
      <c r="AP8" s="12">
        <f t="shared" si="7"/>
        <v>0</v>
      </c>
      <c r="AQ8" s="10">
        <f t="shared" si="8"/>
        <v>87.5</v>
      </c>
      <c r="AR8" s="12">
        <f t="shared" si="9"/>
        <v>1014</v>
      </c>
    </row>
    <row r="9" spans="1:44" ht="15.75" customHeight="1" x14ac:dyDescent="0.25">
      <c r="A9" s="4" t="s">
        <v>43</v>
      </c>
      <c r="B9" s="4" t="s">
        <v>44</v>
      </c>
      <c r="C9" s="10">
        <v>38</v>
      </c>
      <c r="D9" s="58"/>
      <c r="E9" s="11"/>
      <c r="F9" s="12"/>
      <c r="G9" s="12">
        <v>17</v>
      </c>
      <c r="H9" s="12"/>
      <c r="I9" s="12"/>
      <c r="J9" s="12"/>
      <c r="K9" s="12">
        <f t="shared" si="0"/>
        <v>17</v>
      </c>
      <c r="L9" s="10">
        <v>46.25</v>
      </c>
      <c r="M9" s="12"/>
      <c r="N9" s="12">
        <v>169</v>
      </c>
      <c r="O9" s="4">
        <v>43</v>
      </c>
      <c r="P9" s="12"/>
      <c r="Q9" s="12"/>
      <c r="R9" s="12">
        <v>178</v>
      </c>
      <c r="S9" s="12">
        <v>153</v>
      </c>
      <c r="T9" s="12">
        <f t="shared" si="1"/>
        <v>543</v>
      </c>
      <c r="U9" s="10">
        <f t="shared" si="2"/>
        <v>84.25</v>
      </c>
      <c r="V9" s="12">
        <f t="shared" si="3"/>
        <v>560</v>
      </c>
      <c r="W9" s="10"/>
      <c r="X9" s="12">
        <v>138</v>
      </c>
      <c r="Y9" s="12"/>
      <c r="Z9" s="12"/>
      <c r="AA9" s="12">
        <v>113</v>
      </c>
      <c r="AB9" s="12">
        <v>183</v>
      </c>
      <c r="AC9" s="12"/>
      <c r="AD9" s="11"/>
      <c r="AE9" s="12">
        <f t="shared" si="4"/>
        <v>434</v>
      </c>
      <c r="AF9" s="10">
        <f t="shared" si="5"/>
        <v>84.25</v>
      </c>
      <c r="AG9" s="12">
        <f t="shared" si="6"/>
        <v>994</v>
      </c>
      <c r="AH9" s="10"/>
      <c r="AI9" s="12"/>
      <c r="AJ9" s="12"/>
      <c r="AK9" s="12"/>
      <c r="AL9" s="12"/>
      <c r="AM9" s="12"/>
      <c r="AN9" s="12"/>
      <c r="AO9" s="12"/>
      <c r="AP9" s="12">
        <f t="shared" si="7"/>
        <v>0</v>
      </c>
      <c r="AQ9" s="10">
        <f t="shared" si="8"/>
        <v>84.25</v>
      </c>
      <c r="AR9" s="12">
        <f t="shared" si="9"/>
        <v>994</v>
      </c>
    </row>
    <row r="10" spans="1:44" ht="15.75" customHeight="1" x14ac:dyDescent="0.25">
      <c r="A10" s="4" t="s">
        <v>19</v>
      </c>
      <c r="B10" s="4" t="s">
        <v>20</v>
      </c>
      <c r="C10" s="10">
        <v>30.5</v>
      </c>
      <c r="D10" s="59"/>
      <c r="E10" s="4">
        <v>75</v>
      </c>
      <c r="F10" s="4"/>
      <c r="G10" s="4">
        <v>34</v>
      </c>
      <c r="H10" s="4">
        <v>64</v>
      </c>
      <c r="I10" s="4"/>
      <c r="J10" s="4"/>
      <c r="K10" s="12">
        <f t="shared" si="0"/>
        <v>173</v>
      </c>
      <c r="L10" s="10">
        <v>29.75</v>
      </c>
      <c r="M10" s="4"/>
      <c r="N10" s="4">
        <v>59</v>
      </c>
      <c r="O10" s="4">
        <v>126</v>
      </c>
      <c r="P10" s="4"/>
      <c r="Q10" s="4"/>
      <c r="R10" s="4">
        <v>119</v>
      </c>
      <c r="S10" s="4"/>
      <c r="T10" s="12">
        <f t="shared" si="1"/>
        <v>304</v>
      </c>
      <c r="U10" s="10">
        <f t="shared" si="2"/>
        <v>60.25</v>
      </c>
      <c r="V10" s="12">
        <f t="shared" si="3"/>
        <v>477</v>
      </c>
      <c r="W10" s="10"/>
      <c r="X10" s="4">
        <v>94</v>
      </c>
      <c r="Y10" s="4">
        <v>89</v>
      </c>
      <c r="Z10" s="4"/>
      <c r="AA10" s="4">
        <v>137</v>
      </c>
      <c r="AB10" s="4">
        <v>125</v>
      </c>
      <c r="AC10" s="4"/>
      <c r="AD10" s="4"/>
      <c r="AE10" s="12">
        <f t="shared" si="4"/>
        <v>445</v>
      </c>
      <c r="AF10" s="10">
        <f t="shared" si="5"/>
        <v>60.25</v>
      </c>
      <c r="AG10" s="12">
        <f t="shared" si="6"/>
        <v>922</v>
      </c>
      <c r="AH10" s="10"/>
      <c r="AI10" s="12"/>
      <c r="AJ10" s="12"/>
      <c r="AK10" s="12"/>
      <c r="AL10" s="12"/>
      <c r="AM10" s="12"/>
      <c r="AN10" s="12"/>
      <c r="AO10" s="12"/>
      <c r="AP10" s="12">
        <f t="shared" si="7"/>
        <v>0</v>
      </c>
      <c r="AQ10" s="10">
        <f t="shared" si="8"/>
        <v>60.25</v>
      </c>
      <c r="AR10" s="12">
        <f t="shared" si="9"/>
        <v>922</v>
      </c>
    </row>
    <row r="11" spans="1:44" ht="15.75" customHeight="1" x14ac:dyDescent="0.25">
      <c r="A11" s="4" t="s">
        <v>35</v>
      </c>
      <c r="B11" s="4" t="s">
        <v>36</v>
      </c>
      <c r="C11" s="10">
        <v>20.75</v>
      </c>
      <c r="D11" s="58"/>
      <c r="E11" s="11"/>
      <c r="F11" s="12"/>
      <c r="G11" s="12">
        <v>125</v>
      </c>
      <c r="H11" s="12">
        <v>91</v>
      </c>
      <c r="I11" s="12"/>
      <c r="J11" s="12"/>
      <c r="K11" s="12">
        <f t="shared" si="0"/>
        <v>216</v>
      </c>
      <c r="L11" s="10">
        <v>33</v>
      </c>
      <c r="M11" s="12"/>
      <c r="N11" s="12">
        <v>150</v>
      </c>
      <c r="O11" s="12">
        <v>120</v>
      </c>
      <c r="P11" s="12"/>
      <c r="Q11" s="12"/>
      <c r="R11" s="12">
        <v>73</v>
      </c>
      <c r="S11" s="12"/>
      <c r="T11" s="12">
        <f t="shared" si="1"/>
        <v>343</v>
      </c>
      <c r="U11" s="10">
        <f t="shared" si="2"/>
        <v>53.75</v>
      </c>
      <c r="V11" s="12">
        <f t="shared" si="3"/>
        <v>559</v>
      </c>
      <c r="W11" s="10"/>
      <c r="X11" s="12"/>
      <c r="Y11" s="12"/>
      <c r="Z11" s="12"/>
      <c r="AA11" s="4">
        <v>152</v>
      </c>
      <c r="AB11" s="12">
        <v>109</v>
      </c>
      <c r="AC11" s="12"/>
      <c r="AD11" s="11"/>
      <c r="AE11" s="12">
        <f t="shared" si="4"/>
        <v>261</v>
      </c>
      <c r="AF11" s="10">
        <f t="shared" si="5"/>
        <v>53.75</v>
      </c>
      <c r="AG11" s="12">
        <f t="shared" si="6"/>
        <v>820</v>
      </c>
      <c r="AH11" s="10"/>
      <c r="AI11" s="12"/>
      <c r="AJ11" s="12"/>
      <c r="AK11" s="12"/>
      <c r="AL11" s="12"/>
      <c r="AM11" s="12"/>
      <c r="AN11" s="12"/>
      <c r="AO11" s="12"/>
      <c r="AP11" s="12">
        <f t="shared" si="7"/>
        <v>0</v>
      </c>
      <c r="AQ11" s="10">
        <f t="shared" si="8"/>
        <v>53.75</v>
      </c>
      <c r="AR11" s="12">
        <f t="shared" si="9"/>
        <v>820</v>
      </c>
    </row>
    <row r="12" spans="1:44" ht="15.75" customHeight="1" x14ac:dyDescent="0.25">
      <c r="A12" s="4" t="s">
        <v>47</v>
      </c>
      <c r="B12" s="4" t="s">
        <v>48</v>
      </c>
      <c r="C12" s="10">
        <v>43.5</v>
      </c>
      <c r="D12" s="60"/>
      <c r="E12" s="13">
        <v>162</v>
      </c>
      <c r="F12" s="14">
        <v>196</v>
      </c>
      <c r="G12" s="14"/>
      <c r="H12" s="14"/>
      <c r="I12" s="14">
        <v>152</v>
      </c>
      <c r="J12" s="14">
        <v>123</v>
      </c>
      <c r="K12" s="12">
        <f t="shared" si="0"/>
        <v>633</v>
      </c>
      <c r="L12" s="10">
        <v>38.5</v>
      </c>
      <c r="M12" s="12">
        <v>153</v>
      </c>
      <c r="N12" s="12"/>
      <c r="O12" s="4"/>
      <c r="P12" s="12">
        <v>89</v>
      </c>
      <c r="Q12" s="12">
        <v>206</v>
      </c>
      <c r="R12" s="12"/>
      <c r="S12" s="12">
        <v>160</v>
      </c>
      <c r="T12" s="12">
        <f t="shared" si="1"/>
        <v>608</v>
      </c>
      <c r="U12" s="10">
        <f t="shared" si="2"/>
        <v>82</v>
      </c>
      <c r="V12" s="12">
        <f t="shared" si="3"/>
        <v>1241</v>
      </c>
      <c r="W12" s="10"/>
      <c r="X12" s="12"/>
      <c r="Y12" s="12">
        <v>209</v>
      </c>
      <c r="Z12" s="12">
        <v>86</v>
      </c>
      <c r="AA12" s="4"/>
      <c r="AB12" s="4"/>
      <c r="AC12" s="12"/>
      <c r="AD12" s="11"/>
      <c r="AE12" s="12">
        <f t="shared" si="4"/>
        <v>295</v>
      </c>
      <c r="AF12" s="10">
        <f t="shared" si="5"/>
        <v>82</v>
      </c>
      <c r="AG12" s="12">
        <f t="shared" si="6"/>
        <v>1536</v>
      </c>
      <c r="AH12" s="10"/>
      <c r="AI12" s="12"/>
      <c r="AJ12" s="12"/>
      <c r="AK12" s="12"/>
      <c r="AL12" s="12"/>
      <c r="AM12" s="12"/>
      <c r="AN12" s="12"/>
      <c r="AO12" s="12"/>
      <c r="AP12" s="12">
        <f t="shared" si="7"/>
        <v>0</v>
      </c>
      <c r="AQ12" s="10">
        <f t="shared" si="8"/>
        <v>82</v>
      </c>
      <c r="AR12" s="12">
        <f t="shared" si="9"/>
        <v>1536</v>
      </c>
    </row>
    <row r="13" spans="1:44" x14ac:dyDescent="0.25">
      <c r="A13" s="4" t="s">
        <v>25</v>
      </c>
      <c r="B13" s="4" t="s">
        <v>26</v>
      </c>
      <c r="C13" s="10">
        <v>35.25</v>
      </c>
      <c r="D13" s="60"/>
      <c r="E13" s="13">
        <v>152</v>
      </c>
      <c r="F13" s="14">
        <v>188</v>
      </c>
      <c r="G13" s="14"/>
      <c r="H13" s="14"/>
      <c r="I13" s="14">
        <v>58</v>
      </c>
      <c r="J13" s="14"/>
      <c r="K13" s="12">
        <f t="shared" si="0"/>
        <v>398</v>
      </c>
      <c r="L13" s="10">
        <v>33</v>
      </c>
      <c r="M13" s="12">
        <v>41</v>
      </c>
      <c r="N13" s="12">
        <v>57</v>
      </c>
      <c r="O13" s="12">
        <v>127</v>
      </c>
      <c r="P13" s="12"/>
      <c r="Q13" s="12"/>
      <c r="R13" s="12"/>
      <c r="S13" s="12"/>
      <c r="T13" s="12">
        <f t="shared" si="1"/>
        <v>225</v>
      </c>
      <c r="U13" s="10">
        <f t="shared" si="2"/>
        <v>68.25</v>
      </c>
      <c r="V13" s="12">
        <f t="shared" si="3"/>
        <v>623</v>
      </c>
      <c r="W13" s="10"/>
      <c r="X13" s="12"/>
      <c r="Y13" s="12">
        <v>262</v>
      </c>
      <c r="Z13" s="12">
        <v>161</v>
      </c>
      <c r="AA13" s="4"/>
      <c r="AB13" s="12"/>
      <c r="AC13" s="12"/>
      <c r="AD13" s="11"/>
      <c r="AE13" s="12">
        <f t="shared" si="4"/>
        <v>423</v>
      </c>
      <c r="AF13" s="10">
        <f t="shared" si="5"/>
        <v>68.25</v>
      </c>
      <c r="AG13" s="12">
        <f t="shared" si="6"/>
        <v>1046</v>
      </c>
      <c r="AH13" s="10"/>
      <c r="AI13" s="12"/>
      <c r="AJ13" s="12"/>
      <c r="AK13" s="12"/>
      <c r="AL13" s="12"/>
      <c r="AM13" s="12"/>
      <c r="AN13" s="12"/>
      <c r="AO13" s="12"/>
      <c r="AP13" s="12">
        <f t="shared" si="7"/>
        <v>0</v>
      </c>
      <c r="AQ13" s="10">
        <f t="shared" si="8"/>
        <v>68.25</v>
      </c>
      <c r="AR13" s="12">
        <f t="shared" si="9"/>
        <v>1046</v>
      </c>
    </row>
    <row r="14" spans="1:44" x14ac:dyDescent="0.25">
      <c r="A14" s="4" t="s">
        <v>39</v>
      </c>
      <c r="B14" s="4" t="s">
        <v>40</v>
      </c>
      <c r="C14" s="15">
        <v>52.75</v>
      </c>
      <c r="D14" s="61"/>
      <c r="E14" s="16">
        <v>175</v>
      </c>
      <c r="F14" s="16">
        <v>171</v>
      </c>
      <c r="G14" s="16"/>
      <c r="H14" s="16"/>
      <c r="I14" s="16">
        <v>203</v>
      </c>
      <c r="J14" s="16">
        <v>213</v>
      </c>
      <c r="K14" s="12">
        <f t="shared" si="0"/>
        <v>762</v>
      </c>
      <c r="L14" s="15">
        <v>59</v>
      </c>
      <c r="M14" s="17">
        <v>198</v>
      </c>
      <c r="N14" s="17">
        <v>77</v>
      </c>
      <c r="O14" s="17"/>
      <c r="P14" s="17">
        <v>152</v>
      </c>
      <c r="Q14" s="17">
        <v>199</v>
      </c>
      <c r="R14" s="17">
        <v>166</v>
      </c>
      <c r="S14" s="17"/>
      <c r="T14" s="12">
        <f t="shared" si="1"/>
        <v>792</v>
      </c>
      <c r="U14" s="10">
        <f t="shared" si="2"/>
        <v>111.75</v>
      </c>
      <c r="V14" s="12">
        <f t="shared" si="3"/>
        <v>1554</v>
      </c>
      <c r="W14" s="10"/>
      <c r="X14" s="16"/>
      <c r="Y14" s="17">
        <v>117</v>
      </c>
      <c r="Z14" s="17">
        <v>201</v>
      </c>
      <c r="AA14" s="17"/>
      <c r="AB14" s="17"/>
      <c r="AC14" s="17"/>
      <c r="AD14" s="17"/>
      <c r="AE14" s="12">
        <f t="shared" si="4"/>
        <v>318</v>
      </c>
      <c r="AF14" s="10">
        <f t="shared" si="5"/>
        <v>111.75</v>
      </c>
      <c r="AG14" s="12">
        <f t="shared" si="6"/>
        <v>1872</v>
      </c>
      <c r="AH14" s="10"/>
      <c r="AI14" s="12"/>
      <c r="AJ14" s="12"/>
      <c r="AK14" s="12"/>
      <c r="AL14" s="12"/>
      <c r="AM14" s="12"/>
      <c r="AN14" s="12"/>
      <c r="AO14" s="12"/>
      <c r="AP14" s="12">
        <f t="shared" si="7"/>
        <v>0</v>
      </c>
      <c r="AQ14" s="10">
        <f t="shared" si="8"/>
        <v>111.75</v>
      </c>
      <c r="AR14" s="12">
        <f t="shared" si="9"/>
        <v>1872</v>
      </c>
    </row>
    <row r="15" spans="1:44" x14ac:dyDescent="0.25">
      <c r="A15" s="4" t="s">
        <v>23</v>
      </c>
      <c r="B15" s="4" t="s">
        <v>24</v>
      </c>
      <c r="C15" s="15">
        <v>44.5</v>
      </c>
      <c r="D15" s="61"/>
      <c r="E15" s="16">
        <v>216</v>
      </c>
      <c r="F15" s="16">
        <v>215</v>
      </c>
      <c r="G15" s="16">
        <v>225</v>
      </c>
      <c r="H15" s="16">
        <v>198</v>
      </c>
      <c r="I15" s="16">
        <v>150</v>
      </c>
      <c r="J15" s="16"/>
      <c r="K15" s="12">
        <f t="shared" si="0"/>
        <v>1004</v>
      </c>
      <c r="L15" s="15">
        <v>15</v>
      </c>
      <c r="M15" s="17"/>
      <c r="N15" s="17"/>
      <c r="O15" s="17">
        <v>167</v>
      </c>
      <c r="P15" s="17"/>
      <c r="Q15" s="17"/>
      <c r="R15" s="17"/>
      <c r="S15" s="17"/>
      <c r="T15" s="12">
        <f t="shared" si="1"/>
        <v>167</v>
      </c>
      <c r="U15" s="10">
        <f t="shared" si="2"/>
        <v>59.5</v>
      </c>
      <c r="V15" s="12">
        <f t="shared" si="3"/>
        <v>1171</v>
      </c>
      <c r="W15" s="10"/>
      <c r="X15" s="16"/>
      <c r="Y15" s="17">
        <v>175</v>
      </c>
      <c r="Z15" s="17">
        <v>40</v>
      </c>
      <c r="AA15" s="17">
        <v>20</v>
      </c>
      <c r="AB15" s="17">
        <v>227</v>
      </c>
      <c r="AC15" s="17"/>
      <c r="AD15" s="17"/>
      <c r="AE15" s="12">
        <f t="shared" si="4"/>
        <v>462</v>
      </c>
      <c r="AF15" s="10">
        <f t="shared" si="5"/>
        <v>59.5</v>
      </c>
      <c r="AG15" s="12">
        <f t="shared" si="6"/>
        <v>1633</v>
      </c>
      <c r="AH15" s="10"/>
      <c r="AI15" s="12"/>
      <c r="AJ15" s="12"/>
      <c r="AK15" s="12"/>
      <c r="AL15" s="12"/>
      <c r="AM15" s="12"/>
      <c r="AN15" s="12"/>
      <c r="AO15" s="12"/>
      <c r="AP15" s="12">
        <f t="shared" si="7"/>
        <v>0</v>
      </c>
      <c r="AQ15" s="10">
        <f t="shared" si="8"/>
        <v>59.5</v>
      </c>
      <c r="AR15" s="12">
        <f t="shared" si="9"/>
        <v>1633</v>
      </c>
    </row>
    <row r="16" spans="1:44" ht="15.75" customHeight="1" x14ac:dyDescent="0.25">
      <c r="A16" s="4" t="s">
        <v>27</v>
      </c>
      <c r="B16" s="4" t="s">
        <v>28</v>
      </c>
      <c r="C16" s="15">
        <v>19</v>
      </c>
      <c r="D16" s="61"/>
      <c r="E16" s="16"/>
      <c r="F16" s="16">
        <v>155</v>
      </c>
      <c r="G16" s="16"/>
      <c r="H16" s="16"/>
      <c r="I16" s="16"/>
      <c r="J16" s="16"/>
      <c r="K16" s="12">
        <f t="shared" si="0"/>
        <v>155</v>
      </c>
      <c r="L16" s="15">
        <v>0</v>
      </c>
      <c r="M16" s="17"/>
      <c r="N16" s="17"/>
      <c r="O16" s="17"/>
      <c r="P16" s="17"/>
      <c r="Q16" s="17"/>
      <c r="R16" s="17"/>
      <c r="S16" s="17"/>
      <c r="T16" s="12">
        <f t="shared" si="1"/>
        <v>0</v>
      </c>
      <c r="U16" s="10">
        <f t="shared" si="2"/>
        <v>19</v>
      </c>
      <c r="V16" s="12">
        <f t="shared" si="3"/>
        <v>155</v>
      </c>
      <c r="W16" s="10"/>
      <c r="X16" s="16"/>
      <c r="Y16" s="17">
        <v>144</v>
      </c>
      <c r="Z16" s="17">
        <v>136</v>
      </c>
      <c r="AA16" s="17"/>
      <c r="AB16" s="17"/>
      <c r="AC16" s="17"/>
      <c r="AD16" s="17"/>
      <c r="AE16" s="12">
        <f t="shared" si="4"/>
        <v>280</v>
      </c>
      <c r="AF16" s="10">
        <f t="shared" si="5"/>
        <v>19</v>
      </c>
      <c r="AG16" s="12">
        <f t="shared" si="6"/>
        <v>435</v>
      </c>
      <c r="AH16" s="10"/>
      <c r="AI16" s="12"/>
      <c r="AJ16" s="12"/>
      <c r="AK16" s="12"/>
      <c r="AL16" s="12"/>
      <c r="AM16" s="12"/>
      <c r="AN16" s="12"/>
      <c r="AO16" s="12"/>
      <c r="AP16" s="12">
        <f t="shared" si="7"/>
        <v>0</v>
      </c>
      <c r="AQ16" s="10">
        <f t="shared" si="8"/>
        <v>19</v>
      </c>
      <c r="AR16" s="12">
        <f t="shared" si="9"/>
        <v>435</v>
      </c>
    </row>
    <row r="17" spans="1:44" x14ac:dyDescent="0.25">
      <c r="A17" s="4" t="s">
        <v>21</v>
      </c>
      <c r="B17" s="4" t="s">
        <v>22</v>
      </c>
      <c r="C17" s="15">
        <v>39.75</v>
      </c>
      <c r="D17" s="61"/>
      <c r="E17" s="16"/>
      <c r="F17" s="16">
        <v>83</v>
      </c>
      <c r="G17" s="16">
        <v>52</v>
      </c>
      <c r="H17" s="16">
        <v>77</v>
      </c>
      <c r="I17" s="16">
        <v>61</v>
      </c>
      <c r="J17" s="16"/>
      <c r="K17" s="12">
        <f t="shared" si="0"/>
        <v>273</v>
      </c>
      <c r="L17" s="15">
        <v>45</v>
      </c>
      <c r="M17" s="17"/>
      <c r="N17" s="17">
        <v>182</v>
      </c>
      <c r="O17" s="17">
        <v>158</v>
      </c>
      <c r="P17" s="17"/>
      <c r="Q17" s="17"/>
      <c r="R17" s="17">
        <v>178</v>
      </c>
      <c r="S17" s="17">
        <v>123</v>
      </c>
      <c r="T17" s="12">
        <f t="shared" si="1"/>
        <v>641</v>
      </c>
      <c r="U17" s="10">
        <f t="shared" si="2"/>
        <v>84.75</v>
      </c>
      <c r="V17" s="12">
        <f t="shared" si="3"/>
        <v>914</v>
      </c>
      <c r="W17" s="10"/>
      <c r="X17" s="16">
        <v>220</v>
      </c>
      <c r="Y17" s="17"/>
      <c r="Z17" s="17"/>
      <c r="AA17" s="17">
        <v>175</v>
      </c>
      <c r="AB17" s="17">
        <v>44</v>
      </c>
      <c r="AC17" s="17"/>
      <c r="AD17" s="17"/>
      <c r="AE17" s="12">
        <f t="shared" si="4"/>
        <v>439</v>
      </c>
      <c r="AF17" s="10">
        <f t="shared" si="5"/>
        <v>84.75</v>
      </c>
      <c r="AG17" s="12">
        <f t="shared" si="6"/>
        <v>1353</v>
      </c>
      <c r="AH17" s="10"/>
      <c r="AI17" s="12"/>
      <c r="AJ17" s="12"/>
      <c r="AK17" s="12"/>
      <c r="AL17" s="12"/>
      <c r="AM17" s="12"/>
      <c r="AN17" s="12"/>
      <c r="AO17" s="12"/>
      <c r="AP17" s="12">
        <f t="shared" si="7"/>
        <v>0</v>
      </c>
      <c r="AQ17" s="10">
        <f t="shared" si="8"/>
        <v>84.75</v>
      </c>
      <c r="AR17" s="12">
        <f t="shared" si="9"/>
        <v>1353</v>
      </c>
    </row>
    <row r="18" spans="1:44" x14ac:dyDescent="0.25">
      <c r="A18" s="4" t="s">
        <v>41</v>
      </c>
      <c r="B18" s="4" t="s">
        <v>42</v>
      </c>
      <c r="C18" s="15">
        <v>49.75</v>
      </c>
      <c r="D18" s="61"/>
      <c r="E18" s="16">
        <v>162</v>
      </c>
      <c r="F18" s="16">
        <v>196</v>
      </c>
      <c r="G18" s="16"/>
      <c r="H18" s="16">
        <v>143</v>
      </c>
      <c r="I18" s="16">
        <v>142</v>
      </c>
      <c r="J18" s="16">
        <v>90</v>
      </c>
      <c r="K18" s="12">
        <f t="shared" si="0"/>
        <v>733</v>
      </c>
      <c r="L18" s="15">
        <v>31</v>
      </c>
      <c r="M18" s="17">
        <v>151</v>
      </c>
      <c r="N18" s="17"/>
      <c r="O18" s="17"/>
      <c r="P18" s="17">
        <v>150</v>
      </c>
      <c r="Q18" s="17">
        <v>138</v>
      </c>
      <c r="R18" s="17"/>
      <c r="S18" s="17"/>
      <c r="T18" s="12">
        <f t="shared" si="1"/>
        <v>439</v>
      </c>
      <c r="U18" s="10">
        <f t="shared" si="2"/>
        <v>80.75</v>
      </c>
      <c r="V18" s="12">
        <f t="shared" si="3"/>
        <v>1172</v>
      </c>
      <c r="W18" s="10"/>
      <c r="X18" s="16"/>
      <c r="Y18" s="17"/>
      <c r="Z18" s="17"/>
      <c r="AA18" s="17"/>
      <c r="AB18" s="17"/>
      <c r="AC18" s="17"/>
      <c r="AD18" s="17"/>
      <c r="AE18" s="12">
        <f t="shared" si="4"/>
        <v>0</v>
      </c>
      <c r="AF18" s="10">
        <f t="shared" si="5"/>
        <v>80.75</v>
      </c>
      <c r="AG18" s="12">
        <f t="shared" si="6"/>
        <v>1172</v>
      </c>
      <c r="AH18" s="10"/>
      <c r="AI18" s="12"/>
      <c r="AJ18" s="12"/>
      <c r="AK18" s="12"/>
      <c r="AL18" s="12"/>
      <c r="AM18" s="12"/>
      <c r="AN18" s="12"/>
      <c r="AO18" s="12"/>
      <c r="AP18" s="12">
        <f t="shared" si="7"/>
        <v>0</v>
      </c>
      <c r="AQ18" s="10">
        <f t="shared" si="8"/>
        <v>80.75</v>
      </c>
      <c r="AR18" s="12">
        <f t="shared" si="9"/>
        <v>1172</v>
      </c>
    </row>
  </sheetData>
  <autoFilter ref="A2:B2" xr:uid="{C0D61CB4-40F1-4BCD-887D-0F00D16F783D}">
    <sortState xmlns:xlrd2="http://schemas.microsoft.com/office/spreadsheetml/2017/richdata2" ref="A3:B19">
      <sortCondition ref="B2"/>
    </sortState>
  </autoFilter>
  <mergeCells count="8">
    <mergeCell ref="AF1:AG1"/>
    <mergeCell ref="AH1:AO1"/>
    <mergeCell ref="AQ1:AR1"/>
    <mergeCell ref="W1:AD1"/>
    <mergeCell ref="A1:B1"/>
    <mergeCell ref="C1:J1"/>
    <mergeCell ref="L1:S1"/>
    <mergeCell ref="T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5A5-3E36-4E93-8B9E-D996771288A4}">
  <sheetPr>
    <tabColor theme="6" tint="0.39997558519241921"/>
    <pageSetUpPr fitToPage="1"/>
  </sheetPr>
  <dimension ref="B1:J20"/>
  <sheetViews>
    <sheetView zoomScale="55" zoomScaleNormal="55" workbookViewId="0">
      <selection activeCell="H7" sqref="H7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9" width="45.62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16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54.95" customHeight="1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57.75" customHeight="1" x14ac:dyDescent="1">
      <c r="B7" s="100"/>
      <c r="C7" s="29">
        <v>1</v>
      </c>
      <c r="D7" s="30" t="s">
        <v>41</v>
      </c>
      <c r="E7" s="30" t="s">
        <v>42</v>
      </c>
      <c r="F7" s="31">
        <v>91.5</v>
      </c>
      <c r="G7" s="32">
        <v>1494</v>
      </c>
      <c r="H7" s="32">
        <f t="shared" ref="H7:H19" si="0">G7/F7</f>
        <v>16.327868852459016</v>
      </c>
      <c r="I7" s="32">
        <f t="shared" ref="I7:I19" si="1">H7*12</f>
        <v>195.93442622950818</v>
      </c>
      <c r="J7" s="102"/>
    </row>
    <row r="8" spans="2:10" ht="57.95" customHeight="1" x14ac:dyDescent="1">
      <c r="B8" s="100"/>
      <c r="C8" s="29">
        <v>2</v>
      </c>
      <c r="D8" s="30" t="s">
        <v>23</v>
      </c>
      <c r="E8" s="30" t="s">
        <v>24</v>
      </c>
      <c r="F8" s="31">
        <v>91.75</v>
      </c>
      <c r="G8" s="32">
        <v>1494</v>
      </c>
      <c r="H8" s="32">
        <f t="shared" si="0"/>
        <v>16.283378746594007</v>
      </c>
      <c r="I8" s="32">
        <f t="shared" si="1"/>
        <v>195.40054495912807</v>
      </c>
      <c r="J8" s="102"/>
    </row>
    <row r="9" spans="2:10" ht="57.95" customHeight="1" x14ac:dyDescent="1">
      <c r="B9" s="100"/>
      <c r="C9" s="29">
        <v>3</v>
      </c>
      <c r="D9" s="30" t="s">
        <v>29</v>
      </c>
      <c r="E9" s="30" t="s">
        <v>30</v>
      </c>
      <c r="F9" s="31">
        <v>188.25</v>
      </c>
      <c r="G9" s="32">
        <v>3029</v>
      </c>
      <c r="H9" s="32">
        <f t="shared" si="0"/>
        <v>16.090305444887118</v>
      </c>
      <c r="I9" s="32">
        <f t="shared" si="1"/>
        <v>193.0836653386454</v>
      </c>
      <c r="J9" s="102"/>
    </row>
    <row r="10" spans="2:10" ht="57.95" customHeight="1" x14ac:dyDescent="1">
      <c r="B10" s="100"/>
      <c r="C10" s="33">
        <v>4</v>
      </c>
      <c r="D10" s="34" t="s">
        <v>35</v>
      </c>
      <c r="E10" s="34" t="s">
        <v>36</v>
      </c>
      <c r="F10" s="35">
        <v>122.75</v>
      </c>
      <c r="G10" s="36">
        <v>1830</v>
      </c>
      <c r="H10" s="36">
        <f t="shared" si="0"/>
        <v>14.908350305498981</v>
      </c>
      <c r="I10" s="36">
        <f t="shared" si="1"/>
        <v>178.90020366598776</v>
      </c>
      <c r="J10" s="102"/>
    </row>
    <row r="11" spans="2:10" ht="57.95" customHeight="1" x14ac:dyDescent="1">
      <c r="B11" s="100"/>
      <c r="C11" s="33">
        <v>5</v>
      </c>
      <c r="D11" s="34" t="s">
        <v>27</v>
      </c>
      <c r="E11" s="34" t="s">
        <v>28</v>
      </c>
      <c r="F11" s="35">
        <v>95.25</v>
      </c>
      <c r="G11" s="36">
        <v>1414</v>
      </c>
      <c r="H11" s="36">
        <f t="shared" si="0"/>
        <v>14.84514435695538</v>
      </c>
      <c r="I11" s="36">
        <f t="shared" si="1"/>
        <v>178.14173228346456</v>
      </c>
      <c r="J11" s="102"/>
    </row>
    <row r="12" spans="2:10" ht="57.95" customHeight="1" x14ac:dyDescent="1">
      <c r="B12" s="100"/>
      <c r="C12" s="33">
        <v>6</v>
      </c>
      <c r="D12" s="34" t="s">
        <v>25</v>
      </c>
      <c r="E12" s="34" t="s">
        <v>26</v>
      </c>
      <c r="F12" s="35">
        <v>171.5</v>
      </c>
      <c r="G12" s="36">
        <v>2528</v>
      </c>
      <c r="H12" s="36">
        <f t="shared" si="0"/>
        <v>14.740524781341108</v>
      </c>
      <c r="I12" s="36">
        <f t="shared" si="1"/>
        <v>176.8862973760933</v>
      </c>
      <c r="J12" s="102"/>
    </row>
    <row r="13" spans="2:10" ht="57.95" customHeight="1" x14ac:dyDescent="1">
      <c r="B13" s="100"/>
      <c r="C13" s="37">
        <v>7</v>
      </c>
      <c r="D13" s="38" t="s">
        <v>37</v>
      </c>
      <c r="E13" s="38" t="s">
        <v>38</v>
      </c>
      <c r="F13" s="39">
        <v>107.75</v>
      </c>
      <c r="G13" s="40">
        <v>1506</v>
      </c>
      <c r="H13" s="40">
        <f t="shared" si="0"/>
        <v>13.976798143851509</v>
      </c>
      <c r="I13" s="40">
        <f t="shared" si="1"/>
        <v>167.7215777262181</v>
      </c>
      <c r="J13" s="102"/>
    </row>
    <row r="14" spans="2:10" ht="57.95" customHeight="1" x14ac:dyDescent="1">
      <c r="B14" s="100"/>
      <c r="C14" s="41">
        <v>8</v>
      </c>
      <c r="D14" s="42" t="s">
        <v>17</v>
      </c>
      <c r="E14" s="42" t="s">
        <v>18</v>
      </c>
      <c r="F14" s="43">
        <v>134.75</v>
      </c>
      <c r="G14" s="44">
        <v>1772</v>
      </c>
      <c r="H14" s="44">
        <f t="shared" si="0"/>
        <v>13.150278293135436</v>
      </c>
      <c r="I14" s="44">
        <f t="shared" si="1"/>
        <v>157.80333951762523</v>
      </c>
      <c r="J14" s="102"/>
    </row>
    <row r="15" spans="2:10" ht="57.95" customHeight="1" x14ac:dyDescent="1">
      <c r="B15" s="100"/>
      <c r="C15" s="41">
        <v>9</v>
      </c>
      <c r="D15" s="42" t="s">
        <v>33</v>
      </c>
      <c r="E15" s="42" t="s">
        <v>34</v>
      </c>
      <c r="F15" s="43">
        <v>126</v>
      </c>
      <c r="G15" s="44">
        <v>1653</v>
      </c>
      <c r="H15" s="44">
        <f t="shared" si="0"/>
        <v>13.119047619047619</v>
      </c>
      <c r="I15" s="44">
        <f t="shared" si="1"/>
        <v>157.42857142857142</v>
      </c>
      <c r="J15" s="102"/>
    </row>
    <row r="16" spans="2:10" ht="57.95" customHeight="1" x14ac:dyDescent="1">
      <c r="B16" s="100"/>
      <c r="C16" s="41">
        <v>10</v>
      </c>
      <c r="D16" s="42" t="s">
        <v>21</v>
      </c>
      <c r="E16" s="42" t="s">
        <v>22</v>
      </c>
      <c r="F16" s="51">
        <v>191.25</v>
      </c>
      <c r="G16" s="44">
        <v>2370</v>
      </c>
      <c r="H16" s="44">
        <f t="shared" si="0"/>
        <v>12.392156862745098</v>
      </c>
      <c r="I16" s="44">
        <f t="shared" si="1"/>
        <v>148.70588235294119</v>
      </c>
      <c r="J16" s="102"/>
    </row>
    <row r="17" spans="2:10" ht="57.95" customHeight="1" x14ac:dyDescent="1">
      <c r="B17" s="100"/>
      <c r="C17" s="45">
        <v>11</v>
      </c>
      <c r="D17" s="46" t="s">
        <v>31</v>
      </c>
      <c r="E17" s="46" t="s">
        <v>32</v>
      </c>
      <c r="F17" s="52">
        <v>108.25</v>
      </c>
      <c r="G17" s="53">
        <v>1257</v>
      </c>
      <c r="H17" s="48">
        <f t="shared" si="0"/>
        <v>11.612009237875288</v>
      </c>
      <c r="I17" s="48">
        <f t="shared" si="1"/>
        <v>139.34411085450347</v>
      </c>
      <c r="J17" s="102"/>
    </row>
    <row r="18" spans="2:10" ht="57.95" customHeight="1" x14ac:dyDescent="1">
      <c r="B18" s="100"/>
      <c r="C18" s="45">
        <v>12</v>
      </c>
      <c r="D18" s="46" t="s">
        <v>19</v>
      </c>
      <c r="E18" s="46" t="s">
        <v>20</v>
      </c>
      <c r="F18" s="47">
        <v>139.75</v>
      </c>
      <c r="G18" s="48">
        <v>1582</v>
      </c>
      <c r="H18" s="48">
        <f t="shared" si="0"/>
        <v>11.320214669051879</v>
      </c>
      <c r="I18" s="48">
        <f t="shared" si="1"/>
        <v>135.84257602862255</v>
      </c>
      <c r="J18" s="102"/>
    </row>
    <row r="19" spans="2:10" ht="57.95" customHeight="1" x14ac:dyDescent="1">
      <c r="B19" s="100"/>
      <c r="C19" s="45">
        <v>13</v>
      </c>
      <c r="D19" s="46" t="s">
        <v>39</v>
      </c>
      <c r="E19" s="46" t="s">
        <v>40</v>
      </c>
      <c r="F19" s="47">
        <v>178.75</v>
      </c>
      <c r="G19" s="48">
        <v>1971</v>
      </c>
      <c r="H19" s="48">
        <f t="shared" si="0"/>
        <v>11.026573426573426</v>
      </c>
      <c r="I19" s="48">
        <f t="shared" si="1"/>
        <v>132.31888111888111</v>
      </c>
      <c r="J19" s="102"/>
    </row>
    <row r="20" spans="2:10" ht="80.099999999999994" customHeight="1" thickBot="1" x14ac:dyDescent="0.3">
      <c r="B20" s="101"/>
      <c r="C20" s="104"/>
      <c r="D20" s="104"/>
      <c r="E20" s="104"/>
      <c r="F20" s="104"/>
      <c r="G20" s="104"/>
      <c r="H20" s="104"/>
      <c r="I20" s="104"/>
      <c r="J20" s="103"/>
    </row>
  </sheetData>
  <autoFilter ref="D6:I6" xr:uid="{5EA275A5-3E36-4E93-8B9E-D996771288A4}">
    <sortState xmlns:xlrd2="http://schemas.microsoft.com/office/spreadsheetml/2017/richdata2" ref="D7:I19">
      <sortCondition descending="1" ref="I6"/>
    </sortState>
  </autoFilter>
  <mergeCells count="5">
    <mergeCell ref="B2:J2"/>
    <mergeCell ref="B3:J5"/>
    <mergeCell ref="B6:B20"/>
    <mergeCell ref="J6:J20"/>
    <mergeCell ref="C20:I20"/>
  </mergeCells>
  <printOptions horizontalCentered="1" verticalCentered="1"/>
  <pageMargins left="0" right="0" top="0" bottom="0" header="0" footer="0"/>
  <pageSetup paperSize="3" scale="58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FF2C-505A-4C00-95D0-1611C6C74381}">
  <sheetPr>
    <pageSetUpPr fitToPage="1"/>
  </sheetPr>
  <dimension ref="B1:J23"/>
  <sheetViews>
    <sheetView zoomScale="55" zoomScaleNormal="55" workbookViewId="0">
      <selection activeCell="E17" sqref="E17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9" width="45.62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53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57" customHeight="1" x14ac:dyDescent="0.25">
      <c r="B6" s="100"/>
      <c r="C6" s="62" t="s">
        <v>12</v>
      </c>
      <c r="D6" s="63" t="s">
        <v>2</v>
      </c>
      <c r="E6" s="63" t="s">
        <v>3</v>
      </c>
      <c r="F6" s="64" t="s">
        <v>13</v>
      </c>
      <c r="G6" s="65" t="s">
        <v>5</v>
      </c>
      <c r="H6" s="64" t="s">
        <v>14</v>
      </c>
      <c r="I6" s="65" t="s">
        <v>15</v>
      </c>
      <c r="J6" s="102"/>
    </row>
    <row r="7" spans="2:10" ht="57" customHeight="1" x14ac:dyDescent="0.25">
      <c r="B7" s="100"/>
      <c r="C7" s="66">
        <v>1</v>
      </c>
      <c r="D7" s="67" t="s">
        <v>23</v>
      </c>
      <c r="E7" s="67" t="s">
        <v>24</v>
      </c>
      <c r="F7" s="31">
        <v>59.5</v>
      </c>
      <c r="G7" s="32">
        <v>1171</v>
      </c>
      <c r="H7" s="32">
        <f t="shared" ref="H7:H22" si="0">G7/F7</f>
        <v>19.680672268907564</v>
      </c>
      <c r="I7" s="32">
        <f t="shared" ref="I7:I22" si="1">H7*12</f>
        <v>236.16806722689077</v>
      </c>
      <c r="J7" s="102"/>
    </row>
    <row r="8" spans="2:10" ht="57" customHeight="1" x14ac:dyDescent="0.25">
      <c r="B8" s="100"/>
      <c r="C8" s="66">
        <v>2</v>
      </c>
      <c r="D8" s="67" t="s">
        <v>31</v>
      </c>
      <c r="E8" s="67" t="s">
        <v>32</v>
      </c>
      <c r="F8" s="31">
        <v>72.25</v>
      </c>
      <c r="G8" s="32">
        <v>1234</v>
      </c>
      <c r="H8" s="32">
        <f t="shared" si="0"/>
        <v>17.079584775086506</v>
      </c>
      <c r="I8" s="32">
        <f t="shared" si="1"/>
        <v>204.95501730103808</v>
      </c>
      <c r="J8" s="102"/>
    </row>
    <row r="9" spans="2:10" ht="57" customHeight="1" x14ac:dyDescent="0.25">
      <c r="B9" s="100"/>
      <c r="C9" s="68">
        <v>3</v>
      </c>
      <c r="D9" s="69" t="s">
        <v>47</v>
      </c>
      <c r="E9" s="69" t="s">
        <v>48</v>
      </c>
      <c r="F9" s="35">
        <v>82</v>
      </c>
      <c r="G9" s="36">
        <v>1241</v>
      </c>
      <c r="H9" s="70">
        <f t="shared" si="0"/>
        <v>15.134146341463415</v>
      </c>
      <c r="I9" s="70">
        <f t="shared" si="1"/>
        <v>181.60975609756099</v>
      </c>
      <c r="J9" s="102"/>
    </row>
    <row r="10" spans="2:10" ht="57" customHeight="1" x14ac:dyDescent="0.25">
      <c r="B10" s="100"/>
      <c r="C10" s="68">
        <v>4</v>
      </c>
      <c r="D10" s="69" t="s">
        <v>41</v>
      </c>
      <c r="E10" s="69" t="s">
        <v>42</v>
      </c>
      <c r="F10" s="35">
        <v>80.75</v>
      </c>
      <c r="G10" s="36">
        <v>1172</v>
      </c>
      <c r="H10" s="70">
        <f t="shared" si="0"/>
        <v>14.513931888544892</v>
      </c>
      <c r="I10" s="70">
        <f t="shared" si="1"/>
        <v>174.16718266253872</v>
      </c>
      <c r="J10" s="102"/>
    </row>
    <row r="11" spans="2:10" ht="57" customHeight="1" x14ac:dyDescent="0.25">
      <c r="B11" s="100"/>
      <c r="C11" s="68">
        <v>5</v>
      </c>
      <c r="D11" s="69" t="s">
        <v>39</v>
      </c>
      <c r="E11" s="69" t="s">
        <v>40</v>
      </c>
      <c r="F11" s="35">
        <v>111.75</v>
      </c>
      <c r="G11" s="36">
        <v>1554</v>
      </c>
      <c r="H11" s="70">
        <f t="shared" si="0"/>
        <v>13.906040268456376</v>
      </c>
      <c r="I11" s="70">
        <f t="shared" si="1"/>
        <v>166.8724832214765</v>
      </c>
      <c r="J11" s="102"/>
    </row>
    <row r="12" spans="2:10" ht="57" customHeight="1" x14ac:dyDescent="0.25">
      <c r="B12" s="100"/>
      <c r="C12" s="71">
        <v>6</v>
      </c>
      <c r="D12" s="72" t="s">
        <v>21</v>
      </c>
      <c r="E12" s="72" t="s">
        <v>22</v>
      </c>
      <c r="F12" s="39">
        <v>84.75</v>
      </c>
      <c r="G12" s="40">
        <v>914</v>
      </c>
      <c r="H12" s="73">
        <f t="shared" si="0"/>
        <v>10.784660766961652</v>
      </c>
      <c r="I12" s="73">
        <f t="shared" si="1"/>
        <v>129.41592920353983</v>
      </c>
      <c r="J12" s="102"/>
    </row>
    <row r="13" spans="2:10" ht="57" customHeight="1" x14ac:dyDescent="0.25">
      <c r="B13" s="100"/>
      <c r="C13" s="71">
        <v>7</v>
      </c>
      <c r="D13" s="72" t="s">
        <v>35</v>
      </c>
      <c r="E13" s="72" t="s">
        <v>36</v>
      </c>
      <c r="F13" s="39">
        <v>53.75</v>
      </c>
      <c r="G13" s="40">
        <v>559</v>
      </c>
      <c r="H13" s="73">
        <f t="shared" si="0"/>
        <v>10.4</v>
      </c>
      <c r="I13" s="73">
        <f t="shared" si="1"/>
        <v>124.80000000000001</v>
      </c>
      <c r="J13" s="102"/>
    </row>
    <row r="14" spans="2:10" ht="57" customHeight="1" x14ac:dyDescent="0.25">
      <c r="B14" s="100"/>
      <c r="C14" s="74">
        <v>8</v>
      </c>
      <c r="D14" s="75" t="s">
        <v>29</v>
      </c>
      <c r="E14" s="75" t="s">
        <v>30</v>
      </c>
      <c r="F14" s="43">
        <v>87.5</v>
      </c>
      <c r="G14" s="44">
        <v>824</v>
      </c>
      <c r="H14" s="76">
        <f t="shared" si="0"/>
        <v>9.4171428571428564</v>
      </c>
      <c r="I14" s="76">
        <f t="shared" si="1"/>
        <v>113.00571428571428</v>
      </c>
      <c r="J14" s="102"/>
    </row>
    <row r="15" spans="2:10" ht="57" customHeight="1" x14ac:dyDescent="0.25">
      <c r="B15" s="100"/>
      <c r="C15" s="74">
        <v>9</v>
      </c>
      <c r="D15" s="75" t="s">
        <v>37</v>
      </c>
      <c r="E15" s="75" t="s">
        <v>38</v>
      </c>
      <c r="F15" s="51">
        <v>47.5</v>
      </c>
      <c r="G15" s="44">
        <v>447</v>
      </c>
      <c r="H15" s="76">
        <f t="shared" si="0"/>
        <v>9.4105263157894736</v>
      </c>
      <c r="I15" s="76">
        <f t="shared" si="1"/>
        <v>112.92631578947368</v>
      </c>
      <c r="J15" s="102"/>
    </row>
    <row r="16" spans="2:10" ht="57" customHeight="1" x14ac:dyDescent="0.25">
      <c r="B16" s="100"/>
      <c r="C16" s="74">
        <v>10</v>
      </c>
      <c r="D16" s="75" t="s">
        <v>25</v>
      </c>
      <c r="E16" s="75" t="s">
        <v>26</v>
      </c>
      <c r="F16" s="43">
        <v>68.25</v>
      </c>
      <c r="G16" s="44">
        <v>623</v>
      </c>
      <c r="H16" s="76">
        <f t="shared" si="0"/>
        <v>9.1282051282051277</v>
      </c>
      <c r="I16" s="76">
        <f t="shared" si="1"/>
        <v>109.53846153846153</v>
      </c>
      <c r="J16" s="102"/>
    </row>
    <row r="17" spans="2:10" ht="57" customHeight="1" x14ac:dyDescent="0.25">
      <c r="B17" s="100"/>
      <c r="C17" s="77">
        <v>11</v>
      </c>
      <c r="D17" s="78" t="s">
        <v>27</v>
      </c>
      <c r="E17" s="78" t="s">
        <v>28</v>
      </c>
      <c r="F17" s="47">
        <v>19</v>
      </c>
      <c r="G17" s="48">
        <v>155</v>
      </c>
      <c r="H17" s="79">
        <f t="shared" si="0"/>
        <v>8.1578947368421044</v>
      </c>
      <c r="I17" s="79">
        <f t="shared" si="1"/>
        <v>97.89473684210526</v>
      </c>
      <c r="J17" s="102"/>
    </row>
    <row r="18" spans="2:10" ht="57" customHeight="1" x14ac:dyDescent="0.25">
      <c r="B18" s="100"/>
      <c r="C18" s="77">
        <v>12</v>
      </c>
      <c r="D18" s="78" t="s">
        <v>19</v>
      </c>
      <c r="E18" s="78" t="s">
        <v>20</v>
      </c>
      <c r="F18" s="47">
        <v>60.25</v>
      </c>
      <c r="G18" s="48">
        <v>477</v>
      </c>
      <c r="H18" s="79">
        <f t="shared" si="0"/>
        <v>7.9170124481327804</v>
      </c>
      <c r="I18" s="79">
        <f t="shared" si="1"/>
        <v>95.004149377593365</v>
      </c>
      <c r="J18" s="102"/>
    </row>
    <row r="19" spans="2:10" ht="57" customHeight="1" x14ac:dyDescent="0.25">
      <c r="B19" s="100"/>
      <c r="C19" s="77">
        <v>13</v>
      </c>
      <c r="D19" s="78" t="s">
        <v>45</v>
      </c>
      <c r="E19" s="78" t="s">
        <v>46</v>
      </c>
      <c r="F19" s="47">
        <v>75.75</v>
      </c>
      <c r="G19" s="48">
        <v>588</v>
      </c>
      <c r="H19" s="79">
        <f t="shared" si="0"/>
        <v>7.7623762376237622</v>
      </c>
      <c r="I19" s="79">
        <f t="shared" si="1"/>
        <v>93.148514851485146</v>
      </c>
      <c r="J19" s="102"/>
    </row>
    <row r="20" spans="2:10" ht="57" customHeight="1" x14ac:dyDescent="0.25">
      <c r="B20" s="100"/>
      <c r="C20" s="77">
        <v>14</v>
      </c>
      <c r="D20" s="78" t="s">
        <v>33</v>
      </c>
      <c r="E20" s="78" t="s">
        <v>34</v>
      </c>
      <c r="F20" s="47">
        <v>46.25</v>
      </c>
      <c r="G20" s="48">
        <v>355</v>
      </c>
      <c r="H20" s="79">
        <f t="shared" si="0"/>
        <v>7.6756756756756754</v>
      </c>
      <c r="I20" s="79">
        <f t="shared" si="1"/>
        <v>92.108108108108098</v>
      </c>
      <c r="J20" s="102"/>
    </row>
    <row r="21" spans="2:10" ht="57" customHeight="1" x14ac:dyDescent="0.25">
      <c r="B21" s="100"/>
      <c r="C21" s="77">
        <v>15</v>
      </c>
      <c r="D21" s="78" t="s">
        <v>17</v>
      </c>
      <c r="E21" s="78" t="s">
        <v>18</v>
      </c>
      <c r="F21" s="47">
        <v>53.5</v>
      </c>
      <c r="G21" s="48">
        <v>410</v>
      </c>
      <c r="H21" s="79">
        <f t="shared" si="0"/>
        <v>7.6635514018691593</v>
      </c>
      <c r="I21" s="79">
        <f t="shared" si="1"/>
        <v>91.962616822429908</v>
      </c>
      <c r="J21" s="102"/>
    </row>
    <row r="22" spans="2:10" ht="57" customHeight="1" x14ac:dyDescent="0.25">
      <c r="B22" s="100"/>
      <c r="C22" s="80">
        <v>16</v>
      </c>
      <c r="D22" s="81" t="s">
        <v>43</v>
      </c>
      <c r="E22" s="81" t="s">
        <v>44</v>
      </c>
      <c r="F22" s="82">
        <v>84.25</v>
      </c>
      <c r="G22" s="83">
        <v>560</v>
      </c>
      <c r="H22" s="84">
        <f t="shared" si="0"/>
        <v>6.646884272997033</v>
      </c>
      <c r="I22" s="84">
        <f t="shared" si="1"/>
        <v>79.762611275964389</v>
      </c>
      <c r="J22" s="102"/>
    </row>
    <row r="23" spans="2:10" ht="80.099999999999994" customHeight="1" thickBot="1" x14ac:dyDescent="0.3">
      <c r="B23" s="101"/>
      <c r="C23" s="104"/>
      <c r="D23" s="104"/>
      <c r="E23" s="104"/>
      <c r="F23" s="104"/>
      <c r="G23" s="104"/>
      <c r="H23" s="104"/>
      <c r="I23" s="104"/>
      <c r="J23" s="103"/>
    </row>
  </sheetData>
  <autoFilter ref="D6:I6" xr:uid="{3607FF2C-505A-4C00-95D0-1611C6C74381}">
    <sortState xmlns:xlrd2="http://schemas.microsoft.com/office/spreadsheetml/2017/richdata2" ref="D7:I22">
      <sortCondition descending="1" ref="I6"/>
    </sortState>
  </autoFilter>
  <mergeCells count="5">
    <mergeCell ref="B2:J2"/>
    <mergeCell ref="B3:J5"/>
    <mergeCell ref="B6:B23"/>
    <mergeCell ref="J6:J23"/>
    <mergeCell ref="C23:I23"/>
  </mergeCells>
  <printOptions horizontalCentered="1" verticalCentered="1"/>
  <pageMargins left="0" right="0" top="0" bottom="0" header="0" footer="0"/>
  <pageSetup paperSize="3" scale="58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990-C73D-4D98-AC43-EE08BF348289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72E4-ABAF-4340-BAFC-17790AFF051F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E443-2CA1-445A-A021-F78F157EEE2E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FCFA-509F-48A4-88AE-FBFE4F66196F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CF57-D532-4F7E-9614-537AC8DA216C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59B2-B631-442A-89FA-5BC4C850CD7C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062-523D-4D09-8594-114AF053DA96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7566-0158-45C4-924E-1F68276A0D86}">
  <dimension ref="B1:J27"/>
  <sheetViews>
    <sheetView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BA6A-9F64-421A-A07B-6B49A3BBC03C}">
  <dimension ref="B1:J27"/>
  <sheetViews>
    <sheetView zoomScale="55" zoomScaleNormal="55" workbookViewId="0">
      <selection sqref="A1:XFD1048576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3586-1329-43CC-827B-C4BF2E6638B4}">
  <dimension ref="B1:J27"/>
  <sheetViews>
    <sheetView zoomScale="55" zoomScaleNormal="55" workbookViewId="0">
      <selection activeCell="E18" sqref="E18"/>
    </sheetView>
  </sheetViews>
  <sheetFormatPr defaultColWidth="49.75" defaultRowHeight="90" customHeight="1" x14ac:dyDescent="0.25"/>
  <cols>
    <col min="1" max="1" width="13" customWidth="1"/>
    <col min="2" max="2" width="10.875" customWidth="1"/>
    <col min="3" max="3" width="26.875" customWidth="1"/>
    <col min="4" max="4" width="53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10.375" customWidth="1"/>
  </cols>
  <sheetData>
    <row r="1" spans="2:10" ht="16.5" thickBot="1" x14ac:dyDescent="0.3"/>
    <row r="2" spans="2:10" ht="80.099999999999994" customHeight="1" thickBot="1" x14ac:dyDescent="0.3">
      <c r="B2" s="95"/>
      <c r="C2" s="95"/>
      <c r="D2" s="95"/>
      <c r="E2" s="95"/>
      <c r="F2" s="95"/>
      <c r="G2" s="95"/>
      <c r="H2" s="95"/>
      <c r="I2" s="95"/>
      <c r="J2" s="96"/>
    </row>
    <row r="3" spans="2:10" ht="45" customHeight="1" x14ac:dyDescent="0.25">
      <c r="B3" s="97" t="s">
        <v>11</v>
      </c>
      <c r="C3" s="98"/>
      <c r="D3" s="98"/>
      <c r="E3" s="98"/>
      <c r="F3" s="98"/>
      <c r="G3" s="98"/>
      <c r="H3" s="98"/>
      <c r="I3" s="98"/>
      <c r="J3" s="99"/>
    </row>
    <row r="4" spans="2:10" ht="45" customHeight="1" x14ac:dyDescent="0.25">
      <c r="B4" s="97"/>
      <c r="C4" s="98"/>
      <c r="D4" s="98"/>
      <c r="E4" s="98"/>
      <c r="F4" s="98"/>
      <c r="G4" s="98"/>
      <c r="H4" s="98"/>
      <c r="I4" s="98"/>
      <c r="J4" s="99"/>
    </row>
    <row r="5" spans="2:10" ht="45" customHeight="1" x14ac:dyDescent="0.25">
      <c r="B5" s="97"/>
      <c r="C5" s="98"/>
      <c r="D5" s="98"/>
      <c r="E5" s="98"/>
      <c r="F5" s="98"/>
      <c r="G5" s="98"/>
      <c r="H5" s="98"/>
      <c r="I5" s="98"/>
      <c r="J5" s="99"/>
    </row>
    <row r="6" spans="2:10" ht="46.5" x14ac:dyDescent="0.25">
      <c r="B6" s="100"/>
      <c r="C6" s="18" t="s">
        <v>12</v>
      </c>
      <c r="D6" s="19" t="s">
        <v>2</v>
      </c>
      <c r="E6" s="19" t="s">
        <v>3</v>
      </c>
      <c r="F6" s="20" t="s">
        <v>13</v>
      </c>
      <c r="G6" s="21" t="s">
        <v>5</v>
      </c>
      <c r="H6" s="20" t="s">
        <v>14</v>
      </c>
      <c r="I6" s="21" t="s">
        <v>15</v>
      </c>
      <c r="J6" s="102"/>
    </row>
    <row r="7" spans="2:10" ht="34.5" x14ac:dyDescent="0.55000000000000004">
      <c r="B7" s="100"/>
      <c r="C7" s="54">
        <v>1</v>
      </c>
      <c r="D7" s="55"/>
      <c r="E7" s="55"/>
      <c r="F7" s="56"/>
      <c r="G7" s="57"/>
      <c r="H7" s="57"/>
      <c r="I7" s="57"/>
      <c r="J7" s="102"/>
    </row>
    <row r="8" spans="2:10" ht="34.5" x14ac:dyDescent="0.55000000000000004">
      <c r="B8" s="100"/>
      <c r="C8" s="22">
        <v>2</v>
      </c>
      <c r="D8" s="23"/>
      <c r="E8" s="23"/>
      <c r="F8" s="24"/>
      <c r="G8" s="25"/>
      <c r="H8" s="25"/>
      <c r="I8" s="25"/>
      <c r="J8" s="102"/>
    </row>
    <row r="9" spans="2:10" ht="34.5" x14ac:dyDescent="0.55000000000000004">
      <c r="B9" s="100"/>
      <c r="C9" s="22">
        <v>3</v>
      </c>
      <c r="D9" s="23"/>
      <c r="E9" s="23"/>
      <c r="F9" s="26"/>
      <c r="G9" s="25"/>
      <c r="H9" s="25"/>
      <c r="I9" s="25"/>
      <c r="J9" s="102"/>
    </row>
    <row r="10" spans="2:10" ht="34.5" x14ac:dyDescent="0.55000000000000004">
      <c r="B10" s="100"/>
      <c r="C10" s="22">
        <v>4</v>
      </c>
      <c r="D10" s="23"/>
      <c r="E10" s="23"/>
      <c r="F10" s="24"/>
      <c r="G10" s="25"/>
      <c r="H10" s="25"/>
      <c r="I10" s="25"/>
      <c r="J10" s="102"/>
    </row>
    <row r="11" spans="2:10" ht="34.5" x14ac:dyDescent="0.55000000000000004">
      <c r="B11" s="100"/>
      <c r="C11" s="22">
        <v>5</v>
      </c>
      <c r="D11" s="23"/>
      <c r="E11" s="23"/>
      <c r="F11" s="24"/>
      <c r="G11" s="25"/>
      <c r="H11" s="25"/>
      <c r="I11" s="25"/>
      <c r="J11" s="102"/>
    </row>
    <row r="12" spans="2:10" ht="34.5" x14ac:dyDescent="0.55000000000000004">
      <c r="B12" s="100"/>
      <c r="C12" s="22">
        <v>6</v>
      </c>
      <c r="D12" s="23"/>
      <c r="E12" s="23"/>
      <c r="F12" s="24"/>
      <c r="G12" s="25"/>
      <c r="H12" s="25"/>
      <c r="I12" s="25"/>
      <c r="J12" s="102"/>
    </row>
    <row r="13" spans="2:10" ht="34.5" x14ac:dyDescent="0.55000000000000004">
      <c r="B13" s="100"/>
      <c r="C13" s="22">
        <v>7</v>
      </c>
      <c r="D13" s="23"/>
      <c r="E13" s="23"/>
      <c r="F13" s="24"/>
      <c r="G13" s="25"/>
      <c r="H13" s="25"/>
      <c r="I13" s="25"/>
      <c r="J13" s="102"/>
    </row>
    <row r="14" spans="2:10" ht="34.5" x14ac:dyDescent="0.55000000000000004">
      <c r="B14" s="100"/>
      <c r="C14" s="22">
        <v>8</v>
      </c>
      <c r="D14" s="23"/>
      <c r="E14" s="23"/>
      <c r="F14" s="27"/>
      <c r="G14" s="28"/>
      <c r="H14" s="25"/>
      <c r="I14" s="25"/>
      <c r="J14" s="102"/>
    </row>
    <row r="15" spans="2:10" ht="34.5" x14ac:dyDescent="0.55000000000000004">
      <c r="B15" s="100"/>
      <c r="C15" s="22">
        <v>9</v>
      </c>
      <c r="D15" s="23"/>
      <c r="E15" s="23"/>
      <c r="F15" s="24"/>
      <c r="G15" s="25"/>
      <c r="H15" s="25"/>
      <c r="I15" s="25"/>
      <c r="J15" s="102"/>
    </row>
    <row r="16" spans="2:10" ht="34.5" x14ac:dyDescent="0.55000000000000004">
      <c r="B16" s="100"/>
      <c r="C16" s="22">
        <v>10</v>
      </c>
      <c r="D16" s="23"/>
      <c r="E16" s="23"/>
      <c r="F16" s="24"/>
      <c r="G16" s="25"/>
      <c r="H16" s="25"/>
      <c r="I16" s="25"/>
      <c r="J16" s="102"/>
    </row>
    <row r="17" spans="2:10" ht="34.5" x14ac:dyDescent="0.55000000000000004">
      <c r="B17" s="100"/>
      <c r="C17" s="22">
        <v>11</v>
      </c>
      <c r="D17" s="23"/>
      <c r="E17" s="23"/>
      <c r="F17" s="24"/>
      <c r="G17" s="25"/>
      <c r="H17" s="25"/>
      <c r="I17" s="25"/>
      <c r="J17" s="102"/>
    </row>
    <row r="18" spans="2:10" ht="34.5" x14ac:dyDescent="0.55000000000000004">
      <c r="B18" s="100"/>
      <c r="C18" s="22">
        <v>12</v>
      </c>
      <c r="D18" s="23"/>
      <c r="E18" s="23"/>
      <c r="F18" s="24"/>
      <c r="G18" s="25"/>
      <c r="H18" s="25"/>
      <c r="I18" s="25"/>
      <c r="J18" s="102"/>
    </row>
    <row r="19" spans="2:10" ht="34.5" x14ac:dyDescent="0.55000000000000004">
      <c r="B19" s="100"/>
      <c r="C19" s="22">
        <v>13</v>
      </c>
      <c r="D19" s="23"/>
      <c r="E19" s="23"/>
      <c r="F19" s="24"/>
      <c r="G19" s="25"/>
      <c r="H19" s="25"/>
      <c r="I19" s="25"/>
      <c r="J19" s="102"/>
    </row>
    <row r="20" spans="2:10" ht="34.5" x14ac:dyDescent="0.55000000000000004">
      <c r="B20" s="100"/>
      <c r="C20" s="22">
        <v>14</v>
      </c>
      <c r="D20" s="23"/>
      <c r="E20" s="23"/>
      <c r="F20" s="24"/>
      <c r="G20" s="25"/>
      <c r="H20" s="25"/>
      <c r="I20" s="25"/>
      <c r="J20" s="102"/>
    </row>
    <row r="21" spans="2:10" ht="34.5" x14ac:dyDescent="0.55000000000000004">
      <c r="B21" s="100"/>
      <c r="C21" s="22">
        <v>15</v>
      </c>
      <c r="D21" s="23"/>
      <c r="E21" s="23"/>
      <c r="F21" s="24"/>
      <c r="G21" s="25"/>
      <c r="H21" s="25"/>
      <c r="I21" s="25"/>
      <c r="J21" s="102"/>
    </row>
    <row r="22" spans="2:10" ht="34.5" x14ac:dyDescent="0.55000000000000004">
      <c r="B22" s="100"/>
      <c r="C22" s="22">
        <v>16</v>
      </c>
      <c r="D22" s="23"/>
      <c r="E22" s="23"/>
      <c r="F22" s="24"/>
      <c r="G22" s="25"/>
      <c r="H22" s="25"/>
      <c r="I22" s="25"/>
      <c r="J22" s="102"/>
    </row>
    <row r="23" spans="2:10" ht="34.5" x14ac:dyDescent="0.55000000000000004">
      <c r="B23" s="100"/>
      <c r="C23" s="22">
        <v>17</v>
      </c>
      <c r="D23" s="23"/>
      <c r="E23" s="23"/>
      <c r="F23" s="24"/>
      <c r="G23" s="25"/>
      <c r="H23" s="25"/>
      <c r="I23" s="25"/>
      <c r="J23" s="102"/>
    </row>
    <row r="24" spans="2:10" ht="34.5" x14ac:dyDescent="0.55000000000000004">
      <c r="B24" s="100"/>
      <c r="C24" s="22">
        <v>18</v>
      </c>
      <c r="D24" s="23"/>
      <c r="E24" s="23"/>
      <c r="F24" s="24"/>
      <c r="G24" s="25"/>
      <c r="H24" s="25"/>
      <c r="I24" s="25"/>
      <c r="J24" s="102"/>
    </row>
    <row r="25" spans="2:10" ht="34.5" x14ac:dyDescent="0.55000000000000004">
      <c r="B25" s="100"/>
      <c r="C25" s="22">
        <v>19</v>
      </c>
      <c r="D25" s="23"/>
      <c r="E25" s="23"/>
      <c r="F25" s="24"/>
      <c r="G25" s="25"/>
      <c r="H25" s="25"/>
      <c r="I25" s="25"/>
      <c r="J25" s="102"/>
    </row>
    <row r="26" spans="2:10" ht="34.5" x14ac:dyDescent="0.55000000000000004">
      <c r="B26" s="100"/>
      <c r="C26" s="22">
        <v>20</v>
      </c>
      <c r="D26" s="23"/>
      <c r="E26" s="23"/>
      <c r="F26" s="26"/>
      <c r="G26" s="25"/>
      <c r="H26" s="25"/>
      <c r="I26" s="25"/>
      <c r="J26" s="102"/>
    </row>
    <row r="27" spans="2:10" ht="80.099999999999994" customHeight="1" thickBot="1" x14ac:dyDescent="0.3">
      <c r="B27" s="101"/>
      <c r="C27" s="104"/>
      <c r="D27" s="104"/>
      <c r="E27" s="104"/>
      <c r="F27" s="104"/>
      <c r="G27" s="104"/>
      <c r="H27" s="104"/>
      <c r="I27" s="104"/>
      <c r="J27" s="103"/>
    </row>
  </sheetData>
  <mergeCells count="5">
    <mergeCell ref="B2:J2"/>
    <mergeCell ref="B3:J5"/>
    <mergeCell ref="B6:B27"/>
    <mergeCell ref="J6:J27"/>
    <mergeCell ref="C27:I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Template</vt:lpstr>
      <vt:lpstr>Formulas</vt:lpstr>
      <vt:lpstr>Jan-26</vt:lpstr>
      <vt:lpstr>Feb-26</vt:lpstr>
      <vt:lpstr>March-26</vt:lpstr>
      <vt:lpstr>April-26</vt:lpstr>
      <vt:lpstr>May-26</vt:lpstr>
      <vt:lpstr>June-26</vt:lpstr>
      <vt:lpstr>July-26</vt:lpstr>
      <vt:lpstr>Aug-26</vt:lpstr>
      <vt:lpstr>Sept-26</vt:lpstr>
      <vt:lpstr>Oct-26</vt:lpstr>
      <vt:lpstr>Nov-26</vt:lpstr>
      <vt:lpstr>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Hays</dc:creator>
  <cp:lastModifiedBy>Ann Hays</cp:lastModifiedBy>
  <cp:lastPrinted>2026-02-16T17:04:23Z</cp:lastPrinted>
  <dcterms:created xsi:type="dcterms:W3CDTF">2025-12-09T19:15:17Z</dcterms:created>
  <dcterms:modified xsi:type="dcterms:W3CDTF">2026-02-20T12:22:40Z</dcterms:modified>
</cp:coreProperties>
</file>