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M:\CommercialStaffing\Michelin US5\Production Trackers\2026\"/>
    </mc:Choice>
  </mc:AlternateContent>
  <xr:revisionPtr revIDLastSave="0" documentId="13_ncr:1_{598735E7-6091-42DE-9E13-B361AE90940D}" xr6:coauthVersionLast="47" xr6:coauthVersionMax="47" xr10:uidLastSave="{00000000-0000-0000-0000-000000000000}"/>
  <bookViews>
    <workbookView xWindow="-120" yWindow="-120" windowWidth="29040" windowHeight="15720" firstSheet="1" activeTab="1" xr2:uid="{7B4DED07-9283-4AFF-AC40-C4BA1E609025}"/>
  </bookViews>
  <sheets>
    <sheet name="Template" sheetId="1" r:id="rId1"/>
    <sheet name="Formulas" sheetId="2" r:id="rId2"/>
    <sheet name="Jan-26" sheetId="3" r:id="rId3"/>
    <sheet name="Feb-26" sheetId="4" r:id="rId4"/>
    <sheet name="March-26" sheetId="5" r:id="rId5"/>
    <sheet name="April-26" sheetId="6" r:id="rId6"/>
    <sheet name="May-26" sheetId="7" r:id="rId7"/>
    <sheet name="June-26" sheetId="8" r:id="rId8"/>
    <sheet name="July-26" sheetId="9" r:id="rId9"/>
    <sheet name="Aug-26" sheetId="10" r:id="rId10"/>
    <sheet name="Sept-26" sheetId="11" r:id="rId11"/>
    <sheet name="Oct-26" sheetId="12" r:id="rId12"/>
    <sheet name="Nov-26" sheetId="13" r:id="rId13"/>
    <sheet name="Dec-26" sheetId="14" r:id="rId14"/>
  </sheets>
  <definedNames>
    <definedName name="_xlnm._FilterDatabase" localSheetId="3" hidden="1">'Feb-26'!$D$5:$I$5</definedName>
    <definedName name="_xlnm._FilterDatabase" localSheetId="1" hidden="1">Formulas!$A$2:$B$2</definedName>
    <definedName name="_xlnm._FilterDatabase" localSheetId="2" hidden="1">'Jan-26'!$D$5:$I$5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4" l="1"/>
  <c r="I7" i="4" s="1"/>
  <c r="H20" i="4"/>
  <c r="I20" i="4" s="1"/>
  <c r="H16" i="4"/>
  <c r="I16" i="4" s="1"/>
  <c r="K4" i="2" l="1"/>
  <c r="T4" i="2"/>
  <c r="V4" i="2"/>
  <c r="AG4" i="2" s="1"/>
  <c r="AR4" i="2" s="1"/>
  <c r="AE4" i="2"/>
  <c r="AP4" i="2"/>
  <c r="U4" i="2" l="1"/>
  <c r="AF4" i="2" s="1"/>
  <c r="AQ4" i="2" s="1"/>
  <c r="V3" i="2"/>
  <c r="AG3" i="2" s="1"/>
  <c r="AR3" i="2" s="1"/>
  <c r="V5" i="2"/>
  <c r="AG5" i="2" s="1"/>
  <c r="AR5" i="2" s="1"/>
  <c r="V6" i="2"/>
  <c r="AG6" i="2" s="1"/>
  <c r="AR6" i="2" s="1"/>
  <c r="V7" i="2"/>
  <c r="AG7" i="2" s="1"/>
  <c r="AR7" i="2" s="1"/>
  <c r="V8" i="2"/>
  <c r="AG8" i="2" s="1"/>
  <c r="AR8" i="2" s="1"/>
  <c r="V9" i="2"/>
  <c r="AG9" i="2" s="1"/>
  <c r="AR9" i="2" s="1"/>
  <c r="V10" i="2"/>
  <c r="AG10" i="2" s="1"/>
  <c r="AR10" i="2" s="1"/>
  <c r="V11" i="2"/>
  <c r="AG11" i="2" s="1"/>
  <c r="AR11" i="2" s="1"/>
  <c r="V12" i="2"/>
  <c r="AG12" i="2" s="1"/>
  <c r="AR12" i="2" s="1"/>
  <c r="V13" i="2"/>
  <c r="AG13" i="2" s="1"/>
  <c r="AR13" i="2" s="1"/>
  <c r="V14" i="2"/>
  <c r="AG14" i="2" s="1"/>
  <c r="AR14" i="2" s="1"/>
  <c r="V15" i="2"/>
  <c r="AG15" i="2" s="1"/>
  <c r="AR15" i="2" s="1"/>
  <c r="V16" i="2"/>
  <c r="AG16" i="2" s="1"/>
  <c r="AR16" i="2" s="1"/>
  <c r="V17" i="2"/>
  <c r="AG17" i="2" s="1"/>
  <c r="AR17" i="2" s="1"/>
  <c r="V18" i="2"/>
  <c r="V19" i="2"/>
  <c r="AG19" i="2" s="1"/>
  <c r="AR19" i="2" s="1"/>
  <c r="AG18" i="2"/>
  <c r="AR18" i="2" s="1"/>
  <c r="T3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AE3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P3" i="2"/>
  <c r="AP5" i="2"/>
  <c r="AP6" i="2"/>
  <c r="AP7" i="2"/>
  <c r="AP8" i="2"/>
  <c r="AP9" i="2"/>
  <c r="AP10" i="2"/>
  <c r="AP11" i="2"/>
  <c r="AP12" i="2"/>
  <c r="AP13" i="2"/>
  <c r="AP14" i="2"/>
  <c r="AP15" i="2"/>
  <c r="AP16" i="2"/>
  <c r="AP17" i="2"/>
  <c r="AP18" i="2"/>
  <c r="AP19" i="2"/>
  <c r="K3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U7" i="2" l="1"/>
  <c r="AF7" i="2" s="1"/>
  <c r="AQ7" i="2" s="1"/>
  <c r="U14" i="2"/>
  <c r="AF14" i="2" s="1"/>
  <c r="AQ14" i="2" s="1"/>
  <c r="U10" i="2"/>
  <c r="AF10" i="2" s="1"/>
  <c r="AQ10" i="2" s="1"/>
  <c r="U9" i="2"/>
  <c r="AF9" i="2" s="1"/>
  <c r="AQ9" i="2" s="1"/>
  <c r="U8" i="2"/>
  <c r="AF8" i="2" s="1"/>
  <c r="AQ8" i="2" s="1"/>
  <c r="U13" i="2"/>
  <c r="AF13" i="2" s="1"/>
  <c r="AQ13" i="2" s="1"/>
  <c r="U6" i="2"/>
  <c r="AF6" i="2" s="1"/>
  <c r="AQ6" i="2" s="1"/>
  <c r="U15" i="2"/>
  <c r="AF15" i="2" s="1"/>
  <c r="AQ15" i="2" s="1"/>
  <c r="U17" i="2"/>
  <c r="AF17" i="2" s="1"/>
  <c r="AQ17" i="2" s="1"/>
  <c r="U16" i="2"/>
  <c r="AF16" i="2" s="1"/>
  <c r="AQ16" i="2" s="1"/>
  <c r="U5" i="2"/>
  <c r="AF5" i="2" s="1"/>
  <c r="AQ5" i="2" s="1"/>
  <c r="U12" i="2"/>
  <c r="AF12" i="2" s="1"/>
  <c r="AQ12" i="2" s="1"/>
  <c r="U3" i="2"/>
  <c r="AF3" i="2" s="1"/>
  <c r="AQ3" i="2" s="1"/>
  <c r="U19" i="2"/>
  <c r="AF19" i="2" s="1"/>
  <c r="AQ19" i="2" s="1"/>
  <c r="U18" i="2"/>
  <c r="AF18" i="2" s="1"/>
  <c r="AQ18" i="2" s="1"/>
  <c r="U11" i="2"/>
  <c r="AF11" i="2" s="1"/>
  <c r="AQ11" i="2" s="1"/>
  <c r="H9" i="3"/>
  <c r="H17" i="3"/>
  <c r="H18" i="3"/>
  <c r="H14" i="3"/>
  <c r="H12" i="3"/>
  <c r="H19" i="3"/>
  <c r="H10" i="3"/>
  <c r="H16" i="3"/>
  <c r="I16" i="3" s="1"/>
  <c r="H15" i="3"/>
  <c r="H7" i="3"/>
  <c r="H6" i="3"/>
  <c r="H11" i="3"/>
  <c r="H13" i="3"/>
  <c r="H8" i="3"/>
  <c r="I8" i="3" s="1"/>
  <c r="H21" i="14" l="1"/>
  <c r="I21" i="14" s="1"/>
  <c r="H20" i="14"/>
  <c r="I20" i="14" s="1"/>
  <c r="H19" i="14"/>
  <c r="I19" i="14" s="1"/>
  <c r="H18" i="14"/>
  <c r="I18" i="14" s="1"/>
  <c r="H17" i="14"/>
  <c r="I17" i="14" s="1"/>
  <c r="H16" i="14"/>
  <c r="I16" i="14" s="1"/>
  <c r="H15" i="14"/>
  <c r="I15" i="14" s="1"/>
  <c r="H14" i="14"/>
  <c r="I14" i="14" s="1"/>
  <c r="H13" i="14"/>
  <c r="I13" i="14" s="1"/>
  <c r="H12" i="14"/>
  <c r="I12" i="14" s="1"/>
  <c r="H11" i="14"/>
  <c r="I11" i="14" s="1"/>
  <c r="H10" i="14"/>
  <c r="I10" i="14" s="1"/>
  <c r="H9" i="14"/>
  <c r="I9" i="14" s="1"/>
  <c r="H8" i="14"/>
  <c r="I8" i="14" s="1"/>
  <c r="H7" i="14"/>
  <c r="I7" i="14" s="1"/>
  <c r="H6" i="14"/>
  <c r="I6" i="14" s="1"/>
  <c r="H21" i="13"/>
  <c r="I21" i="13" s="1"/>
  <c r="H20" i="13"/>
  <c r="I20" i="13" s="1"/>
  <c r="I19" i="13"/>
  <c r="H19" i="13"/>
  <c r="H18" i="13"/>
  <c r="I18" i="13" s="1"/>
  <c r="H17" i="13"/>
  <c r="I17" i="13" s="1"/>
  <c r="H16" i="13"/>
  <c r="I16" i="13" s="1"/>
  <c r="I15" i="13"/>
  <c r="H15" i="13"/>
  <c r="H14" i="13"/>
  <c r="I14" i="13" s="1"/>
  <c r="H13" i="13"/>
  <c r="I13" i="13" s="1"/>
  <c r="H12" i="13"/>
  <c r="I12" i="13" s="1"/>
  <c r="I11" i="13"/>
  <c r="H11" i="13"/>
  <c r="H10" i="13"/>
  <c r="I10" i="13" s="1"/>
  <c r="H9" i="13"/>
  <c r="I9" i="13" s="1"/>
  <c r="H8" i="13"/>
  <c r="I8" i="13" s="1"/>
  <c r="I7" i="13"/>
  <c r="H7" i="13"/>
  <c r="H6" i="13"/>
  <c r="I6" i="13" s="1"/>
  <c r="H21" i="12"/>
  <c r="I21" i="12" s="1"/>
  <c r="I20" i="12"/>
  <c r="H20" i="12"/>
  <c r="H19" i="12"/>
  <c r="I19" i="12" s="1"/>
  <c r="H18" i="12"/>
  <c r="I18" i="12" s="1"/>
  <c r="H17" i="12"/>
  <c r="I17" i="12" s="1"/>
  <c r="I16" i="12"/>
  <c r="H16" i="12"/>
  <c r="H15" i="12"/>
  <c r="I15" i="12" s="1"/>
  <c r="H14" i="12"/>
  <c r="I14" i="12" s="1"/>
  <c r="H13" i="12"/>
  <c r="I13" i="12" s="1"/>
  <c r="I12" i="12"/>
  <c r="H12" i="12"/>
  <c r="H11" i="12"/>
  <c r="I11" i="12" s="1"/>
  <c r="H10" i="12"/>
  <c r="I10" i="12" s="1"/>
  <c r="H9" i="12"/>
  <c r="I9" i="12" s="1"/>
  <c r="I8" i="12"/>
  <c r="H8" i="12"/>
  <c r="H7" i="12"/>
  <c r="I7" i="12" s="1"/>
  <c r="H6" i="12"/>
  <c r="I6" i="12" s="1"/>
  <c r="H21" i="11"/>
  <c r="I21" i="11" s="1"/>
  <c r="H20" i="11"/>
  <c r="I20" i="11" s="1"/>
  <c r="H19" i="11"/>
  <c r="I19" i="11" s="1"/>
  <c r="H18" i="11"/>
  <c r="I18" i="11" s="1"/>
  <c r="H17" i="11"/>
  <c r="I17" i="11" s="1"/>
  <c r="H16" i="11"/>
  <c r="I16" i="11" s="1"/>
  <c r="H15" i="11"/>
  <c r="I15" i="11" s="1"/>
  <c r="H14" i="11"/>
  <c r="I14" i="11" s="1"/>
  <c r="H13" i="11"/>
  <c r="I13" i="11" s="1"/>
  <c r="H12" i="11"/>
  <c r="I12" i="11" s="1"/>
  <c r="H11" i="11"/>
  <c r="I11" i="11" s="1"/>
  <c r="H10" i="11"/>
  <c r="I10" i="11" s="1"/>
  <c r="H9" i="11"/>
  <c r="I9" i="11" s="1"/>
  <c r="H8" i="11"/>
  <c r="I8" i="11" s="1"/>
  <c r="H7" i="11"/>
  <c r="I7" i="11" s="1"/>
  <c r="H6" i="11"/>
  <c r="I6" i="11" s="1"/>
  <c r="H21" i="10"/>
  <c r="I21" i="10" s="1"/>
  <c r="H20" i="10"/>
  <c r="I20" i="10" s="1"/>
  <c r="H19" i="10"/>
  <c r="I19" i="10" s="1"/>
  <c r="H18" i="10"/>
  <c r="I18" i="10" s="1"/>
  <c r="H17" i="10"/>
  <c r="I17" i="10" s="1"/>
  <c r="H16" i="10"/>
  <c r="I16" i="10" s="1"/>
  <c r="H15" i="10"/>
  <c r="I15" i="10" s="1"/>
  <c r="H14" i="10"/>
  <c r="I14" i="10" s="1"/>
  <c r="H13" i="10"/>
  <c r="I13" i="10" s="1"/>
  <c r="H12" i="10"/>
  <c r="I12" i="10" s="1"/>
  <c r="H11" i="10"/>
  <c r="I11" i="10" s="1"/>
  <c r="H10" i="10"/>
  <c r="I10" i="10" s="1"/>
  <c r="H9" i="10"/>
  <c r="I9" i="10" s="1"/>
  <c r="H8" i="10"/>
  <c r="I8" i="10" s="1"/>
  <c r="H7" i="10"/>
  <c r="I7" i="10" s="1"/>
  <c r="H6" i="10"/>
  <c r="I6" i="10" s="1"/>
  <c r="H21" i="9"/>
  <c r="I21" i="9" s="1"/>
  <c r="H20" i="9"/>
  <c r="I20" i="9" s="1"/>
  <c r="H19" i="9"/>
  <c r="I19" i="9" s="1"/>
  <c r="H18" i="9"/>
  <c r="I18" i="9" s="1"/>
  <c r="H17" i="9"/>
  <c r="I17" i="9" s="1"/>
  <c r="H16" i="9"/>
  <c r="I16" i="9" s="1"/>
  <c r="H15" i="9"/>
  <c r="I15" i="9" s="1"/>
  <c r="H14" i="9"/>
  <c r="I14" i="9" s="1"/>
  <c r="H13" i="9"/>
  <c r="I13" i="9" s="1"/>
  <c r="H12" i="9"/>
  <c r="I12" i="9" s="1"/>
  <c r="H11" i="9"/>
  <c r="I11" i="9" s="1"/>
  <c r="H10" i="9"/>
  <c r="I10" i="9" s="1"/>
  <c r="H9" i="9"/>
  <c r="I9" i="9" s="1"/>
  <c r="H8" i="9"/>
  <c r="I8" i="9" s="1"/>
  <c r="H7" i="9"/>
  <c r="I7" i="9" s="1"/>
  <c r="H6" i="9"/>
  <c r="I6" i="9" s="1"/>
  <c r="H21" i="8"/>
  <c r="I21" i="8" s="1"/>
  <c r="H20" i="8"/>
  <c r="I20" i="8" s="1"/>
  <c r="I19" i="8"/>
  <c r="H19" i="8"/>
  <c r="H18" i="8"/>
  <c r="I18" i="8" s="1"/>
  <c r="H17" i="8"/>
  <c r="I17" i="8" s="1"/>
  <c r="H16" i="8"/>
  <c r="I16" i="8" s="1"/>
  <c r="I15" i="8"/>
  <c r="H15" i="8"/>
  <c r="H14" i="8"/>
  <c r="I14" i="8" s="1"/>
  <c r="H13" i="8"/>
  <c r="I13" i="8" s="1"/>
  <c r="H12" i="8"/>
  <c r="I12" i="8" s="1"/>
  <c r="I11" i="8"/>
  <c r="H11" i="8"/>
  <c r="H10" i="8"/>
  <c r="I10" i="8" s="1"/>
  <c r="H9" i="8"/>
  <c r="I9" i="8" s="1"/>
  <c r="H8" i="8"/>
  <c r="I8" i="8" s="1"/>
  <c r="I7" i="8"/>
  <c r="H7" i="8"/>
  <c r="H6" i="8"/>
  <c r="I6" i="8" s="1"/>
  <c r="H21" i="7"/>
  <c r="I21" i="7" s="1"/>
  <c r="H20" i="7"/>
  <c r="I20" i="7" s="1"/>
  <c r="H19" i="7"/>
  <c r="I19" i="7" s="1"/>
  <c r="H18" i="7"/>
  <c r="I18" i="7" s="1"/>
  <c r="H17" i="7"/>
  <c r="I17" i="7" s="1"/>
  <c r="H16" i="7"/>
  <c r="I16" i="7" s="1"/>
  <c r="H15" i="7"/>
  <c r="I15" i="7" s="1"/>
  <c r="H14" i="7"/>
  <c r="I14" i="7" s="1"/>
  <c r="H13" i="7"/>
  <c r="I13" i="7" s="1"/>
  <c r="H12" i="7"/>
  <c r="I12" i="7" s="1"/>
  <c r="H11" i="7"/>
  <c r="I11" i="7" s="1"/>
  <c r="H10" i="7"/>
  <c r="I10" i="7" s="1"/>
  <c r="H9" i="7"/>
  <c r="I9" i="7" s="1"/>
  <c r="H8" i="7"/>
  <c r="I8" i="7" s="1"/>
  <c r="H7" i="7"/>
  <c r="I7" i="7" s="1"/>
  <c r="I6" i="7"/>
  <c r="H6" i="7"/>
  <c r="H21" i="6"/>
  <c r="I21" i="6" s="1"/>
  <c r="H20" i="6"/>
  <c r="I20" i="6" s="1"/>
  <c r="H19" i="6"/>
  <c r="I19" i="6" s="1"/>
  <c r="H18" i="6"/>
  <c r="I18" i="6" s="1"/>
  <c r="H17" i="6"/>
  <c r="I17" i="6" s="1"/>
  <c r="H16" i="6"/>
  <c r="I16" i="6" s="1"/>
  <c r="H15" i="6"/>
  <c r="I15" i="6" s="1"/>
  <c r="H14" i="6"/>
  <c r="I14" i="6" s="1"/>
  <c r="H13" i="6"/>
  <c r="I13" i="6" s="1"/>
  <c r="H12" i="6"/>
  <c r="I12" i="6" s="1"/>
  <c r="H11" i="6"/>
  <c r="I11" i="6" s="1"/>
  <c r="H10" i="6"/>
  <c r="I10" i="6" s="1"/>
  <c r="H9" i="6"/>
  <c r="I9" i="6" s="1"/>
  <c r="H8" i="6"/>
  <c r="I8" i="6" s="1"/>
  <c r="H7" i="6"/>
  <c r="I7" i="6" s="1"/>
  <c r="H6" i="6"/>
  <c r="I6" i="6" s="1"/>
  <c r="I21" i="5"/>
  <c r="H21" i="5"/>
  <c r="I20" i="5"/>
  <c r="H20" i="5"/>
  <c r="H19" i="5"/>
  <c r="I19" i="5" s="1"/>
  <c r="I18" i="5"/>
  <c r="H18" i="5"/>
  <c r="I17" i="5"/>
  <c r="H17" i="5"/>
  <c r="I16" i="5"/>
  <c r="H16" i="5"/>
  <c r="H15" i="5"/>
  <c r="I15" i="5" s="1"/>
  <c r="I14" i="5"/>
  <c r="H14" i="5"/>
  <c r="I13" i="5"/>
  <c r="H13" i="5"/>
  <c r="I12" i="5"/>
  <c r="H12" i="5"/>
  <c r="H11" i="5"/>
  <c r="I11" i="5" s="1"/>
  <c r="I10" i="5"/>
  <c r="H10" i="5"/>
  <c r="I9" i="5"/>
  <c r="H9" i="5"/>
  <c r="I8" i="5"/>
  <c r="H8" i="5"/>
  <c r="H7" i="5"/>
  <c r="I7" i="5" s="1"/>
  <c r="I6" i="5"/>
  <c r="H6" i="5"/>
  <c r="H10" i="4"/>
  <c r="I10" i="4" s="1"/>
  <c r="H11" i="4"/>
  <c r="I11" i="4" s="1"/>
  <c r="H15" i="4"/>
  <c r="I15" i="4" s="1"/>
  <c r="H18" i="4"/>
  <c r="I18" i="4" s="1"/>
  <c r="H6" i="4"/>
  <c r="I6" i="4" s="1"/>
  <c r="H12" i="4"/>
  <c r="I12" i="4" s="1"/>
  <c r="H21" i="4"/>
  <c r="I21" i="4" s="1"/>
  <c r="H19" i="4"/>
  <c r="I19" i="4" s="1"/>
  <c r="H9" i="4"/>
  <c r="I9" i="4" s="1"/>
  <c r="H17" i="4"/>
  <c r="I17" i="4" s="1"/>
  <c r="H14" i="4"/>
  <c r="I14" i="4" s="1"/>
  <c r="H8" i="4"/>
  <c r="I8" i="4" s="1"/>
  <c r="H22" i="4"/>
  <c r="I22" i="4" s="1"/>
  <c r="H13" i="4"/>
  <c r="I13" i="4" s="1"/>
  <c r="I6" i="3" l="1"/>
  <c r="I14" i="3"/>
  <c r="I10" i="3"/>
  <c r="I17" i="3"/>
  <c r="I13" i="3"/>
  <c r="I15" i="3"/>
  <c r="I9" i="3"/>
  <c r="I7" i="3"/>
  <c r="I12" i="3"/>
  <c r="I19" i="3"/>
  <c r="I11" i="3"/>
  <c r="I18" i="3"/>
  <c r="H21" i="1" l="1"/>
  <c r="I21" i="1" s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</calcChain>
</file>

<file path=xl/sharedStrings.xml><?xml version="1.0" encoding="utf-8"?>
<sst xmlns="http://schemas.openxmlformats.org/spreadsheetml/2006/main" count="224" uniqueCount="56">
  <si>
    <t xml:space="preserve">Putaway Efficiency  </t>
  </si>
  <si>
    <t>Rank</t>
  </si>
  <si>
    <t>First</t>
  </si>
  <si>
    <t>Last</t>
  </si>
  <si>
    <t>Hours Worked</t>
  </si>
  <si>
    <t>Pallets Moved</t>
  </si>
  <si>
    <t>Pallets / HR.</t>
  </si>
  <si>
    <t>12 hr. Projection</t>
  </si>
  <si>
    <t xml:space="preserve">Putaway </t>
  </si>
  <si>
    <t>Totals</t>
  </si>
  <si>
    <t>Pallets Putaway</t>
  </si>
  <si>
    <t>Total Pallets</t>
  </si>
  <si>
    <t>Total Hours</t>
  </si>
  <si>
    <t>Virgil</t>
  </si>
  <si>
    <t>Calvin</t>
  </si>
  <si>
    <t>Gabriel</t>
  </si>
  <si>
    <t>Cabalbag</t>
  </si>
  <si>
    <t>Tyreak</t>
  </si>
  <si>
    <t>Rogers</t>
  </si>
  <si>
    <t>Michael</t>
  </si>
  <si>
    <t>Orta</t>
  </si>
  <si>
    <t>Silvia</t>
  </si>
  <si>
    <t>Carias</t>
  </si>
  <si>
    <t>Dakota</t>
  </si>
  <si>
    <t>Grubbs</t>
  </si>
  <si>
    <t>James</t>
  </si>
  <si>
    <t>Allen</t>
  </si>
  <si>
    <t>Joshua</t>
  </si>
  <si>
    <t>Gary</t>
  </si>
  <si>
    <t>William</t>
  </si>
  <si>
    <t>Butler</t>
  </si>
  <si>
    <t>David</t>
  </si>
  <si>
    <t>Johnson</t>
  </si>
  <si>
    <t>Abdono</t>
  </si>
  <si>
    <t>Abney</t>
  </si>
  <si>
    <t>Anthony</t>
  </si>
  <si>
    <t>Quattlebaum</t>
  </si>
  <si>
    <t>Donald</t>
  </si>
  <si>
    <t>Lynch</t>
  </si>
  <si>
    <t>Keyton</t>
  </si>
  <si>
    <t>Washington</t>
  </si>
  <si>
    <t>Putaway Efficiency  January 2026</t>
  </si>
  <si>
    <t>Putaway Efficiency  February 2026</t>
  </si>
  <si>
    <t>2.01.26-2.07.26</t>
  </si>
  <si>
    <t>2.08.26-2.14.26</t>
  </si>
  <si>
    <t>2.15.26-2.21.26</t>
  </si>
  <si>
    <t>2.22.26-2.28.26</t>
  </si>
  <si>
    <t>Lamar</t>
  </si>
  <si>
    <t>Roderick</t>
  </si>
  <si>
    <t>Myles</t>
  </si>
  <si>
    <t>Ashley</t>
  </si>
  <si>
    <t>Fuller</t>
  </si>
  <si>
    <t>Kyietcha</t>
  </si>
  <si>
    <t>Brown</t>
  </si>
  <si>
    <t>Patrick</t>
  </si>
  <si>
    <t>Ames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</si>
</sst>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13" x14ac:knownFonts="1">
    <font>
      <sz val="12"/>
      <color theme="1"/>
      <name val="Aptos Narrow"/>
      <family val="2"/>
      <scheme val="minor"/>
    </font>
    <font>
      <b/>
      <sz val="100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8"/>
      <name val="Aptos Narrow"/>
      <family val="2"/>
      <scheme val="minor"/>
    </font>
    <font>
      <sz val="72"/>
      <name val="Aptos Narrow"/>
      <family val="2"/>
      <scheme val="minor"/>
    </font>
    <font>
      <sz val="20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72"/>
      <name val="Aptos Narrow"/>
      <family val="2"/>
      <scheme val="minor"/>
    </font>
    <font>
      <b/>
      <sz val="7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</fills>
  <borders count="16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medium">
        <color rgb="FF0070C0"/>
      </right>
      <top style="medium">
        <color rgb="FF0070C0"/>
      </top>
      <bottom/>
      <diagonal/>
    </border>
    <border>
      <left style="medium">
        <color rgb="FF0070C0"/>
      </left>
      <right/>
      <top/>
      <bottom/>
      <diagonal/>
    </border>
    <border>
      <left/>
      <right style="medium">
        <color rgb="FF0070C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/>
      <right style="medium">
        <color rgb="FF0070C0"/>
      </right>
      <top/>
      <bottom style="medium">
        <color rgb="FF0070C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/>
    <xf numFmtId="0" fontId="12" fillId="0" borderId="0"/>
  </cellStyleXfs>
  <cellXfs count="91">
    <xf numFmtId="0" fontId="0" fillId="0" borderId="0" xfId="0"/>
    <xf numFmtId="0" fontId="2" fillId="0" borderId="6" xfId="0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 wrapText="1"/>
    </xf>
    <xf numFmtId="164" fontId="4" fillId="0" borderId="6" xfId="1" applyNumberFormat="1" applyFont="1" applyBorder="1" applyAlignment="1">
      <alignment horizontal="center" vertical="center" wrapText="1"/>
    </xf>
    <xf numFmtId="3" fontId="4" fillId="0" borderId="6" xfId="1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/>
    </xf>
    <xf numFmtId="2" fontId="5" fillId="0" borderId="6" xfId="0" applyNumberFormat="1" applyFont="1" applyBorder="1" applyAlignment="1">
      <alignment horizontal="center"/>
    </xf>
    <xf numFmtId="3" fontId="5" fillId="0" borderId="6" xfId="0" applyNumberFormat="1" applyFont="1" applyBorder="1" applyAlignment="1">
      <alignment horizontal="center" vertical="center"/>
    </xf>
    <xf numFmtId="3" fontId="5" fillId="0" borderId="6" xfId="0" applyNumberFormat="1" applyFont="1" applyBorder="1" applyAlignment="1">
      <alignment horizontal="center"/>
    </xf>
    <xf numFmtId="0" fontId="7" fillId="0" borderId="0" xfId="0" applyFont="1"/>
    <xf numFmtId="0" fontId="0" fillId="0" borderId="13" xfId="0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0" fontId="8" fillId="5" borderId="14" xfId="0" applyFont="1" applyFill="1" applyBorder="1" applyAlignment="1">
      <alignment horizontal="center" vertical="center" wrapText="1"/>
    </xf>
    <xf numFmtId="0" fontId="0" fillId="5" borderId="13" xfId="0" applyFill="1" applyBorder="1" applyAlignment="1">
      <alignment horizontal="center" vertical="center" wrapText="1"/>
    </xf>
    <xf numFmtId="2" fontId="0" fillId="6" borderId="6" xfId="0" applyNumberFormat="1" applyFill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3" fontId="0" fillId="0" borderId="6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4" fontId="0" fillId="0" borderId="6" xfId="0" applyNumberFormat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4" fontId="0" fillId="0" borderId="6" xfId="0" applyNumberFormat="1" applyBorder="1" applyAlignment="1">
      <alignment horizontal="center"/>
    </xf>
    <xf numFmtId="1" fontId="0" fillId="0" borderId="6" xfId="0" applyNumberFormat="1" applyBorder="1" applyAlignment="1">
      <alignment horizontal="center"/>
    </xf>
    <xf numFmtId="1" fontId="8" fillId="6" borderId="6" xfId="0" applyNumberFormat="1" applyFont="1" applyFill="1" applyBorder="1" applyAlignment="1">
      <alignment horizontal="center"/>
    </xf>
    <xf numFmtId="2" fontId="8" fillId="0" borderId="6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5" xfId="0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6" borderId="6" xfId="0" applyFill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/>
    </xf>
    <xf numFmtId="2" fontId="10" fillId="7" borderId="6" xfId="0" applyNumberFormat="1" applyFont="1" applyFill="1" applyBorder="1" applyAlignment="1">
      <alignment horizontal="center"/>
    </xf>
    <xf numFmtId="3" fontId="10" fillId="7" borderId="6" xfId="0" applyNumberFormat="1" applyFont="1" applyFill="1" applyBorder="1" applyAlignment="1">
      <alignment horizontal="center" vertical="center"/>
    </xf>
    <xf numFmtId="0" fontId="9" fillId="8" borderId="6" xfId="0" applyFont="1" applyFill="1" applyBorder="1" applyAlignment="1">
      <alignment horizontal="center"/>
    </xf>
    <xf numFmtId="2" fontId="9" fillId="8" borderId="6" xfId="0" applyNumberFormat="1" applyFont="1" applyFill="1" applyBorder="1" applyAlignment="1">
      <alignment horizontal="center"/>
    </xf>
    <xf numFmtId="3" fontId="9" fillId="8" borderId="6" xfId="0" applyNumberFormat="1" applyFont="1" applyFill="1" applyBorder="1" applyAlignment="1">
      <alignment horizontal="center" vertical="center"/>
    </xf>
    <xf numFmtId="0" fontId="9" fillId="9" borderId="6" xfId="0" applyFont="1" applyFill="1" applyBorder="1" applyAlignment="1">
      <alignment horizontal="center"/>
    </xf>
    <xf numFmtId="2" fontId="9" fillId="9" borderId="6" xfId="0" applyNumberFormat="1" applyFont="1" applyFill="1" applyBorder="1" applyAlignment="1">
      <alignment horizontal="center"/>
    </xf>
    <xf numFmtId="3" fontId="9" fillId="9" borderId="6" xfId="0" applyNumberFormat="1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/>
    </xf>
    <xf numFmtId="2" fontId="9" fillId="2" borderId="6" xfId="0" applyNumberFormat="1" applyFont="1" applyFill="1" applyBorder="1" applyAlignment="1">
      <alignment horizontal="center"/>
    </xf>
    <xf numFmtId="3" fontId="9" fillId="2" borderId="6" xfId="0" applyNumberFormat="1" applyFont="1" applyFill="1" applyBorder="1" applyAlignment="1">
      <alignment horizontal="center" vertical="center"/>
    </xf>
    <xf numFmtId="3" fontId="8" fillId="6" borderId="6" xfId="0" applyNumberFormat="1" applyFont="1" applyFill="1" applyBorder="1" applyAlignment="1">
      <alignment horizontal="center"/>
    </xf>
    <xf numFmtId="2" fontId="11" fillId="0" borderId="6" xfId="0" applyNumberFormat="1" applyFont="1" applyBorder="1" applyAlignment="1">
      <alignment horizontal="center"/>
    </xf>
    <xf numFmtId="3" fontId="11" fillId="0" borderId="6" xfId="0" applyNumberFormat="1" applyFont="1" applyBorder="1" applyAlignment="1">
      <alignment horizontal="center"/>
    </xf>
    <xf numFmtId="0" fontId="11" fillId="0" borderId="15" xfId="0" applyFont="1" applyBorder="1" applyAlignment="1">
      <alignment horizontal="center"/>
    </xf>
    <xf numFmtId="0" fontId="8" fillId="6" borderId="15" xfId="0" applyFont="1" applyFill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8" fillId="6" borderId="6" xfId="0" applyFont="1" applyFill="1" applyBorder="1" applyAlignment="1">
      <alignment horizontal="center"/>
    </xf>
    <xf numFmtId="2" fontId="11" fillId="0" borderId="15" xfId="0" applyNumberFormat="1" applyFont="1" applyBorder="1" applyAlignment="1">
      <alignment horizontal="center"/>
    </xf>
    <xf numFmtId="0" fontId="9" fillId="10" borderId="6" xfId="0" applyFont="1" applyFill="1" applyBorder="1" applyAlignment="1">
      <alignment horizontal="center"/>
    </xf>
    <xf numFmtId="2" fontId="9" fillId="10" borderId="6" xfId="0" applyNumberFormat="1" applyFont="1" applyFill="1" applyBorder="1" applyAlignment="1">
      <alignment horizontal="center"/>
    </xf>
    <xf numFmtId="3" fontId="9" fillId="10" borderId="6" xfId="0" applyNumberFormat="1" applyFont="1" applyFill="1" applyBorder="1" applyAlignment="1">
      <alignment horizontal="center"/>
    </xf>
    <xf numFmtId="3" fontId="9" fillId="10" borderId="6" xfId="0" applyNumberFormat="1" applyFont="1" applyFill="1" applyBorder="1" applyAlignment="1">
      <alignment horizontal="center" vertical="center"/>
    </xf>
    <xf numFmtId="3" fontId="8" fillId="0" borderId="6" xfId="0" applyNumberFormat="1" applyFont="1" applyBorder="1" applyAlignment="1">
      <alignment horizontal="center"/>
    </xf>
    <xf numFmtId="3" fontId="8" fillId="11" borderId="6" xfId="0" applyNumberFormat="1" applyFont="1" applyFill="1" applyBorder="1" applyAlignment="1">
      <alignment horizontal="center"/>
    </xf>
    <xf numFmtId="3" fontId="0" fillId="11" borderId="6" xfId="0" applyNumberFormat="1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0" borderId="6" xfId="0" applyBorder="1"/>
    <xf numFmtId="0" fontId="11" fillId="0" borderId="6" xfId="0" applyFont="1" applyBorder="1" applyAlignment="1">
      <alignment horizontal="left"/>
    </xf>
    <xf numFmtId="0" fontId="0" fillId="0" borderId="6" xfId="0" applyBorder="1" applyAlignment="1">
      <alignment horizontal="left"/>
    </xf>
    <xf numFmtId="2" fontId="12" fillId="0" borderId="6" xfId="2" applyNumberFormat="1" applyBorder="1" applyAlignment="1">
      <alignment horizontal="center" vertical="center"/>
    </xf>
    <xf numFmtId="3" fontId="12" fillId="11" borderId="6" xfId="2" applyNumberFormat="1" applyFill="1" applyBorder="1" applyAlignment="1">
      <alignment horizontal="center" vertical="center"/>
    </xf>
    <xf numFmtId="3" fontId="12" fillId="6" borderId="6" xfId="2" applyNumberFormat="1" applyFill="1" applyBorder="1" applyAlignment="1">
      <alignment horizontal="center" vertical="center"/>
    </xf>
    <xf numFmtId="3" fontId="12" fillId="0" borderId="6" xfId="2" applyNumberFormat="1" applyBorder="1" applyAlignment="1">
      <alignment horizontal="center" vertical="center"/>
    </xf>
    <xf numFmtId="0" fontId="12" fillId="0" borderId="6" xfId="2" applyBorder="1" applyAlignment="1">
      <alignment horizontal="left" vertical="center"/>
    </xf>
    <xf numFmtId="3" fontId="10" fillId="7" borderId="6" xfId="0" applyNumberFormat="1" applyFont="1" applyFill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2" fontId="9" fillId="12" borderId="6" xfId="0" applyNumberFormat="1" applyFont="1" applyFill="1" applyBorder="1" applyAlignment="1">
      <alignment horizontal="center"/>
    </xf>
    <xf numFmtId="3" fontId="9" fillId="12" borderId="6" xfId="0" applyNumberFormat="1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  <xf numFmtId="0" fontId="7" fillId="3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8" xfId="0" applyBorder="1" applyAlignment="1">
      <alignment horizontal="center"/>
    </xf>
  </cellXfs>
  <cellStyles count="3">
    <cellStyle name="Normal" xfId="0" builtinId="0"/>
    <cellStyle name="Normal 2" xfId="2" xr:uid="{F76CE467-AB94-4C59-A1C6-86FF9AF3109C}"/>
    <cellStyle name="Normal 5" xfId="1" xr:uid="{0FBF738C-DF93-4FCE-AC30-1FCE68806E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D3B969B-FDCD-439E-A372-366E6B1E19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1711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F5E6CA3-A3F8-48BB-860D-3C8DFB0B88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4748211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157CD89-72A0-49CD-A7A4-007EE96900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67189" y="2492830"/>
          <a:ext cx="4748211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BB97A334-3077-4E21-AF20-C6195FF997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13764F1-CB53-4D46-9DC2-6CD194CEB0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D55A56F5-29F1-4B9E-963E-E3E25CE946B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358727E-60AE-480E-9212-654B737E67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BF32D5D-FBCC-49C3-9959-1CDBF42679C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4F4CE993-D3C1-4086-8662-2FADBB9C7CB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FD08F2F-18B8-4C92-AE3F-394087DE2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F35F7BF1-5E0B-4ED4-A5B2-775E4569327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69ABE1C-76AF-42BE-9D20-E8023B3C140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357189</xdr:colOff>
      <xdr:row>2</xdr:row>
      <xdr:rowOff>168730</xdr:rowOff>
    </xdr:from>
    <xdr:ext cx="7548562" cy="2355395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C438FFFE-C502-4EC3-A997-B695C3EAD13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48" t="28702" r="10285" b="13036"/>
        <a:stretch/>
      </xdr:blipFill>
      <xdr:spPr bwMode="auto">
        <a:xfrm>
          <a:off x="4176714" y="2473780"/>
          <a:ext cx="7548562" cy="235539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858F9-4166-410E-9D47-D18E8FE2C503}">
  <sheetPr>
    <tabColor theme="8" tint="0.39997558519241921"/>
  </sheetPr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2425E-8D8B-4265-ABAB-B2B66C76A379}">
  <sheetPr>
    <tabColor theme="4" tint="0.39997558519241921"/>
  </sheetPr>
  <dimension ref="A1:AR19"/>
  <sheetViews>
    <sheetView tabSelected="1" workbookViewId="0">
      <selection activeCell="X2" sqref="X1:AB1048576"/>
    </sheetView>
  </sheetViews>
  <sheetFormatPr defaultRowHeight="15.75" x14ac:dyDescent="0.25"/>
  <cols>
    <col min="1" max="1" width="11" customWidth="1"/>
    <col min="2" max="2" width="13.875" customWidth="1"/>
    <col min="3" max="3" width="6.75" hidden="1" customWidth="1"/>
    <col min="4" max="8" width="6" hidden="1" customWidth="1"/>
    <col min="9" max="10" width="6" style="28" hidden="1" customWidth="1"/>
    <col min="11" max="11" width="11.25" hidden="1" customWidth="1"/>
    <col min="12" max="12" width="6.75" hidden="1" customWidth="1"/>
    <col min="13" max="13" width="5" style="28" hidden="1" customWidth="1"/>
    <col min="14" max="14" width="5" hidden="1" customWidth="1"/>
    <col min="15" max="17" width="5" style="28" hidden="1" customWidth="1"/>
    <col min="18" max="19" width="5" hidden="1" customWidth="1"/>
    <col min="20" max="20" width="7.375" hidden="1" customWidth="1"/>
    <col min="21" max="21" width="6.125" hidden="1" customWidth="1"/>
    <col min="22" max="22" width="9.125" style="28" hidden="1" customWidth="1"/>
    <col min="23" max="23" width="7.75" customWidth="1"/>
    <col min="24" max="24" width="5.75" style="28" hidden="1" customWidth="1"/>
    <col min="25" max="25" width="5.75" hidden="1" customWidth="1"/>
    <col min="26" max="28" width="5.75" style="28" hidden="1" customWidth="1"/>
    <col min="29" max="30" width="5.75" customWidth="1"/>
    <col min="31" max="33" width="7.625" customWidth="1"/>
    <col min="34" max="34" width="7.875" customWidth="1"/>
    <col min="35" max="41" width="6" customWidth="1"/>
    <col min="42" max="44" width="8.625" customWidth="1"/>
  </cols>
  <sheetData>
    <row r="1" spans="1:44" s="9" customFormat="1" ht="26.25" x14ac:dyDescent="0.4">
      <c r="A1" s="76" t="s">
        <v>8</v>
      </c>
      <c r="B1" s="76"/>
      <c r="C1" s="77" t="s">
        <v>43</v>
      </c>
      <c r="D1" s="77"/>
      <c r="E1" s="77"/>
      <c r="F1" s="77"/>
      <c r="G1" s="77"/>
      <c r="H1" s="77"/>
      <c r="I1" s="77"/>
      <c r="J1" s="77"/>
      <c r="K1" s="32" t="s">
        <v>9</v>
      </c>
      <c r="L1" s="78" t="s">
        <v>44</v>
      </c>
      <c r="M1" s="78"/>
      <c r="N1" s="78"/>
      <c r="O1" s="78"/>
      <c r="P1" s="78"/>
      <c r="Q1" s="78"/>
      <c r="R1" s="78"/>
      <c r="S1" s="78"/>
      <c r="T1" s="79" t="s">
        <v>9</v>
      </c>
      <c r="U1" s="79"/>
      <c r="V1" s="79"/>
      <c r="W1" s="78" t="s">
        <v>45</v>
      </c>
      <c r="X1" s="78"/>
      <c r="Y1" s="78"/>
      <c r="Z1" s="78"/>
      <c r="AA1" s="78"/>
      <c r="AB1" s="78"/>
      <c r="AC1" s="78"/>
      <c r="AD1" s="78"/>
      <c r="AE1" s="79" t="s">
        <v>9</v>
      </c>
      <c r="AF1" s="79"/>
      <c r="AG1" s="79"/>
      <c r="AH1" s="73" t="s">
        <v>46</v>
      </c>
      <c r="AI1" s="74"/>
      <c r="AJ1" s="74"/>
      <c r="AK1" s="74"/>
      <c r="AL1" s="74"/>
      <c r="AM1" s="74"/>
      <c r="AN1" s="74"/>
      <c r="AO1" s="74"/>
      <c r="AP1" s="74"/>
      <c r="AQ1" s="74"/>
      <c r="AR1" s="75"/>
    </row>
    <row r="2" spans="1:44" ht="47.25" x14ac:dyDescent="0.25">
      <c r="A2" s="10" t="s">
        <v>2</v>
      </c>
      <c r="B2" s="10" t="s">
        <v>3</v>
      </c>
      <c r="C2" s="13" t="s">
        <v>4</v>
      </c>
      <c r="D2" s="11">
        <v>2.0099999999999998</v>
      </c>
      <c r="E2" s="11">
        <v>2.02</v>
      </c>
      <c r="F2" s="11">
        <v>2.0299999999999998</v>
      </c>
      <c r="G2" s="11">
        <v>2.04</v>
      </c>
      <c r="H2" s="11">
        <v>2.0499999999999998</v>
      </c>
      <c r="I2" s="11">
        <v>2.06</v>
      </c>
      <c r="J2" s="11">
        <v>2.0699999999999998</v>
      </c>
      <c r="K2" s="12" t="s">
        <v>10</v>
      </c>
      <c r="L2" s="13" t="s">
        <v>4</v>
      </c>
      <c r="M2" s="11">
        <v>2.08</v>
      </c>
      <c r="N2" s="11">
        <v>2.09</v>
      </c>
      <c r="O2" s="11">
        <v>2.1</v>
      </c>
      <c r="P2" s="11">
        <v>2.11</v>
      </c>
      <c r="Q2" s="11">
        <v>2.12</v>
      </c>
      <c r="R2" s="11">
        <v>2.13</v>
      </c>
      <c r="S2" s="11">
        <v>2.14</v>
      </c>
      <c r="T2" s="12" t="s">
        <v>10</v>
      </c>
      <c r="U2" s="13" t="s">
        <v>11</v>
      </c>
      <c r="V2" s="13" t="s">
        <v>12</v>
      </c>
      <c r="W2" s="13" t="s">
        <v>4</v>
      </c>
      <c r="X2" s="11">
        <v>2.15</v>
      </c>
      <c r="Y2" s="11">
        <v>2.16</v>
      </c>
      <c r="Z2" s="11">
        <v>2.17</v>
      </c>
      <c r="AA2" s="11">
        <v>2.1800000000000002</v>
      </c>
      <c r="AB2" s="11">
        <v>2.19</v>
      </c>
      <c r="AC2" s="11">
        <v>2.2000000000000002</v>
      </c>
      <c r="AD2" s="14">
        <v>2.21</v>
      </c>
      <c r="AE2" s="12" t="s">
        <v>10</v>
      </c>
      <c r="AF2" s="13" t="s">
        <v>11</v>
      </c>
      <c r="AG2" s="13" t="s">
        <v>12</v>
      </c>
      <c r="AH2" s="13" t="s">
        <v>4</v>
      </c>
      <c r="AI2" s="11">
        <v>2.2200000000000002</v>
      </c>
      <c r="AJ2" s="11">
        <v>2.23</v>
      </c>
      <c r="AK2" s="11">
        <v>2.2400000000000002</v>
      </c>
      <c r="AL2" s="11">
        <v>2.25</v>
      </c>
      <c r="AM2" s="11">
        <v>2.2599999999999998</v>
      </c>
      <c r="AN2" s="11">
        <v>2.27</v>
      </c>
      <c r="AO2" s="11">
        <v>2.2799999999999998</v>
      </c>
      <c r="AP2" s="12" t="s">
        <v>10</v>
      </c>
      <c r="AQ2" s="13" t="s">
        <v>11</v>
      </c>
      <c r="AR2" s="13" t="s">
        <v>12</v>
      </c>
    </row>
    <row r="3" spans="1:44" ht="15" customHeight="1" x14ac:dyDescent="0.25">
      <c r="A3" s="61" t="s">
        <v>25</v>
      </c>
      <c r="B3" s="61" t="s">
        <v>26</v>
      </c>
      <c r="C3" s="24">
        <v>38.25</v>
      </c>
      <c r="D3" s="58"/>
      <c r="E3" s="57">
        <v>113</v>
      </c>
      <c r="F3" s="57">
        <v>10</v>
      </c>
      <c r="G3" s="57"/>
      <c r="H3" s="16"/>
      <c r="I3" s="16">
        <v>111</v>
      </c>
      <c r="J3" s="16">
        <v>38</v>
      </c>
      <c r="K3" s="17">
        <f t="shared" ref="K3:K19" si="0">SUM(D3:J3)</f>
        <v>272</v>
      </c>
      <c r="L3" s="18">
        <v>14</v>
      </c>
      <c r="M3" s="19"/>
      <c r="N3" s="20"/>
      <c r="O3" s="20"/>
      <c r="P3" s="20"/>
      <c r="Q3" s="20"/>
      <c r="R3" s="20">
        <v>10</v>
      </c>
      <c r="S3" s="19">
        <v>133</v>
      </c>
      <c r="T3" s="16">
        <f t="shared" ref="T3:T19" si="1">SUM(M3:S3)</f>
        <v>143</v>
      </c>
      <c r="U3" s="16">
        <f t="shared" ref="U3:U19" si="2">K3+T3</f>
        <v>415</v>
      </c>
      <c r="V3" s="15">
        <f t="shared" ref="V3:V19" si="3">C3+L3</f>
        <v>52.25</v>
      </c>
      <c r="W3" s="21"/>
      <c r="X3" s="16">
        <v>74</v>
      </c>
      <c r="Y3" s="16"/>
      <c r="Z3" s="22"/>
      <c r="AA3" s="22">
        <v>70</v>
      </c>
      <c r="AB3" s="22"/>
      <c r="AC3" s="22"/>
      <c r="AD3" s="23"/>
      <c r="AE3" s="16">
        <f t="shared" ref="AE3:AE19" si="4">SUM(X3:AD3)</f>
        <v>144</v>
      </c>
      <c r="AF3" s="16">
        <f t="shared" ref="AF3:AF19" si="5">AE3+U3</f>
        <v>559</v>
      </c>
      <c r="AG3" s="15">
        <f t="shared" ref="AG3:AG19" si="6">V3+W3</f>
        <v>52.25</v>
      </c>
      <c r="AH3" s="46"/>
      <c r="AI3" s="47"/>
      <c r="AJ3" s="47"/>
      <c r="AK3" s="47"/>
      <c r="AL3" s="47"/>
      <c r="AM3" s="45"/>
      <c r="AN3" s="47"/>
      <c r="AO3" s="47"/>
      <c r="AP3" s="16">
        <f t="shared" ref="AP3:AP19" si="7">SUM(AI3:AO3)</f>
        <v>0</v>
      </c>
      <c r="AQ3" s="16">
        <f t="shared" ref="AQ3:AQ19" si="8">AP3+AF3</f>
        <v>559</v>
      </c>
      <c r="AR3" s="15">
        <f t="shared" ref="AR3:AR19" si="9">AG3+AH3</f>
        <v>52.25</v>
      </c>
    </row>
    <row r="4" spans="1:44" x14ac:dyDescent="0.25">
      <c r="A4" s="68" t="s">
        <v>54</v>
      </c>
      <c r="B4" s="68" t="s">
        <v>55</v>
      </c>
      <c r="C4" s="64">
        <v>34.75</v>
      </c>
      <c r="D4" s="65"/>
      <c r="E4" s="66"/>
      <c r="F4" s="67"/>
      <c r="G4" s="67">
        <v>74</v>
      </c>
      <c r="H4" s="25">
        <v>68</v>
      </c>
      <c r="I4" s="25"/>
      <c r="J4" s="25">
        <v>100</v>
      </c>
      <c r="K4" s="17">
        <f t="shared" ref="K4" si="10">SUM(D4:J4)</f>
        <v>242</v>
      </c>
      <c r="L4" s="15">
        <v>45.75</v>
      </c>
      <c r="M4" s="25"/>
      <c r="N4" s="25">
        <v>35</v>
      </c>
      <c r="O4" s="25">
        <v>57</v>
      </c>
      <c r="P4" s="25"/>
      <c r="Q4" s="25"/>
      <c r="R4" s="25">
        <v>106</v>
      </c>
      <c r="S4" s="25">
        <v>108</v>
      </c>
      <c r="T4" s="16">
        <f t="shared" ref="T4" si="11">SUM(M4:S4)</f>
        <v>306</v>
      </c>
      <c r="U4" s="16">
        <f t="shared" ref="U4" si="12">K4+T4</f>
        <v>548</v>
      </c>
      <c r="V4" s="15">
        <f t="shared" ref="V4" si="13">C4+L4</f>
        <v>80.5</v>
      </c>
      <c r="W4" s="15"/>
      <c r="X4" s="25">
        <v>88</v>
      </c>
      <c r="Y4" s="25"/>
      <c r="Z4" s="25"/>
      <c r="AA4" s="25">
        <v>100</v>
      </c>
      <c r="AB4" s="25">
        <v>112</v>
      </c>
      <c r="AC4" s="25"/>
      <c r="AD4" s="25"/>
      <c r="AE4" s="16">
        <f t="shared" ref="AE4" si="14">SUM(X4:AD4)</f>
        <v>300</v>
      </c>
      <c r="AF4" s="16">
        <f t="shared" ref="AF4" si="15">AE4+U4</f>
        <v>848</v>
      </c>
      <c r="AG4" s="15">
        <f t="shared" ref="AG4" si="16">V4+W4</f>
        <v>80.5</v>
      </c>
      <c r="AH4" s="46"/>
      <c r="AI4" s="50"/>
      <c r="AJ4" s="50"/>
      <c r="AK4" s="50"/>
      <c r="AL4" s="50"/>
      <c r="AM4" s="51"/>
      <c r="AN4" s="50"/>
      <c r="AO4" s="50"/>
      <c r="AP4" s="16">
        <f t="shared" ref="AP4" si="17">SUM(AI4:AO4)</f>
        <v>0</v>
      </c>
      <c r="AQ4" s="16">
        <f t="shared" ref="AQ4" si="18">AP4+AF4</f>
        <v>848</v>
      </c>
      <c r="AR4" s="15">
        <f t="shared" ref="AR4" si="19">AG4+AH4</f>
        <v>80.5</v>
      </c>
    </row>
    <row r="5" spans="1:44" ht="15" customHeight="1" x14ac:dyDescent="0.25">
      <c r="A5" s="61" t="s">
        <v>52</v>
      </c>
      <c r="B5" s="61" t="s">
        <v>53</v>
      </c>
      <c r="C5" s="15">
        <v>15.25</v>
      </c>
      <c r="D5" s="59"/>
      <c r="E5" s="16"/>
      <c r="F5" s="16"/>
      <c r="G5" s="16"/>
      <c r="H5" s="16">
        <v>20</v>
      </c>
      <c r="I5" s="16"/>
      <c r="J5" s="16"/>
      <c r="K5" s="17">
        <f t="shared" si="0"/>
        <v>20</v>
      </c>
      <c r="L5" s="18">
        <v>46.25</v>
      </c>
      <c r="M5" s="19"/>
      <c r="N5" s="20">
        <v>35</v>
      </c>
      <c r="O5" s="20">
        <v>25</v>
      </c>
      <c r="P5" s="20"/>
      <c r="Q5" s="20"/>
      <c r="R5" s="20">
        <v>44</v>
      </c>
      <c r="S5" s="19"/>
      <c r="T5" s="16">
        <f t="shared" si="1"/>
        <v>104</v>
      </c>
      <c r="U5" s="16">
        <f t="shared" si="2"/>
        <v>124</v>
      </c>
      <c r="V5" s="15">
        <f t="shared" si="3"/>
        <v>61.5</v>
      </c>
      <c r="W5" s="21"/>
      <c r="X5" s="16">
        <v>105</v>
      </c>
      <c r="Y5" s="16"/>
      <c r="Z5" s="22"/>
      <c r="AA5" s="22">
        <v>80</v>
      </c>
      <c r="AB5" s="22">
        <v>68</v>
      </c>
      <c r="AC5" s="22"/>
      <c r="AD5" s="23"/>
      <c r="AE5" s="16">
        <f t="shared" si="4"/>
        <v>253</v>
      </c>
      <c r="AF5" s="16">
        <f t="shared" si="5"/>
        <v>377</v>
      </c>
      <c r="AG5" s="15">
        <f t="shared" si="6"/>
        <v>61.5</v>
      </c>
      <c r="AH5" s="46"/>
      <c r="AI5" s="47"/>
      <c r="AJ5" s="47"/>
      <c r="AK5" s="47"/>
      <c r="AL5" s="47"/>
      <c r="AM5" s="45"/>
      <c r="AN5" s="47"/>
      <c r="AO5" s="47"/>
      <c r="AP5" s="16">
        <f t="shared" si="7"/>
        <v>0</v>
      </c>
      <c r="AQ5" s="16">
        <f t="shared" si="8"/>
        <v>377</v>
      </c>
      <c r="AR5" s="15">
        <f t="shared" si="9"/>
        <v>61.5</v>
      </c>
    </row>
    <row r="6" spans="1:44" s="28" customFormat="1" ht="15" customHeight="1" x14ac:dyDescent="0.25">
      <c r="A6" s="62" t="s">
        <v>29</v>
      </c>
      <c r="B6" s="62" t="s">
        <v>30</v>
      </c>
      <c r="C6" s="15">
        <v>27.75</v>
      </c>
      <c r="D6" s="60"/>
      <c r="E6" s="25"/>
      <c r="F6" s="25">
        <v>99</v>
      </c>
      <c r="G6" s="25"/>
      <c r="H6" s="25"/>
      <c r="I6" s="25">
        <v>108</v>
      </c>
      <c r="J6" s="25">
        <v>100</v>
      </c>
      <c r="K6" s="17">
        <f t="shared" si="0"/>
        <v>307</v>
      </c>
      <c r="L6" s="15">
        <v>21.25</v>
      </c>
      <c r="M6" s="26">
        <v>122</v>
      </c>
      <c r="N6" s="26"/>
      <c r="O6" s="26"/>
      <c r="P6" s="26">
        <v>16</v>
      </c>
      <c r="Q6" s="26">
        <v>97</v>
      </c>
      <c r="R6" s="25"/>
      <c r="S6" s="25"/>
      <c r="T6" s="16">
        <f t="shared" si="1"/>
        <v>235</v>
      </c>
      <c r="U6" s="16">
        <f t="shared" si="2"/>
        <v>542</v>
      </c>
      <c r="V6" s="15">
        <f t="shared" si="3"/>
        <v>49</v>
      </c>
      <c r="W6" s="27"/>
      <c r="X6" s="26"/>
      <c r="Y6" s="26">
        <v>71</v>
      </c>
      <c r="Z6" s="26">
        <v>80</v>
      </c>
      <c r="AA6" s="26"/>
      <c r="AB6" s="26"/>
      <c r="AC6" s="26"/>
      <c r="AD6" s="25"/>
      <c r="AE6" s="16">
        <f t="shared" si="4"/>
        <v>151</v>
      </c>
      <c r="AF6" s="16">
        <f t="shared" si="5"/>
        <v>693</v>
      </c>
      <c r="AG6" s="15">
        <f t="shared" si="6"/>
        <v>49</v>
      </c>
      <c r="AH6" s="46"/>
      <c r="AI6" s="48"/>
      <c r="AJ6" s="48"/>
      <c r="AK6" s="48"/>
      <c r="AL6" s="48"/>
      <c r="AM6" s="49"/>
      <c r="AN6" s="48"/>
      <c r="AO6" s="48"/>
      <c r="AP6" s="16">
        <f t="shared" si="7"/>
        <v>0</v>
      </c>
      <c r="AQ6" s="16">
        <f t="shared" si="8"/>
        <v>693</v>
      </c>
      <c r="AR6" s="15">
        <f t="shared" si="9"/>
        <v>49</v>
      </c>
    </row>
    <row r="7" spans="1:44" s="28" customFormat="1" ht="15" customHeight="1" x14ac:dyDescent="0.25">
      <c r="A7" s="61" t="s">
        <v>15</v>
      </c>
      <c r="B7" s="61" t="s">
        <v>16</v>
      </c>
      <c r="C7" s="15">
        <v>23.25</v>
      </c>
      <c r="D7" s="60"/>
      <c r="E7" s="25"/>
      <c r="F7" s="25"/>
      <c r="G7" s="25">
        <v>86</v>
      </c>
      <c r="H7" s="25">
        <v>107</v>
      </c>
      <c r="I7" s="25"/>
      <c r="J7" s="25"/>
      <c r="K7" s="17">
        <f t="shared" si="0"/>
        <v>193</v>
      </c>
      <c r="L7" s="15">
        <v>38.5</v>
      </c>
      <c r="M7" s="26"/>
      <c r="N7" s="26">
        <v>54</v>
      </c>
      <c r="O7" s="26"/>
      <c r="P7" s="26"/>
      <c r="Q7" s="26"/>
      <c r="R7" s="25">
        <v>118</v>
      </c>
      <c r="S7" s="25">
        <v>116</v>
      </c>
      <c r="T7" s="16">
        <f t="shared" si="1"/>
        <v>288</v>
      </c>
      <c r="U7" s="16">
        <f t="shared" si="2"/>
        <v>481</v>
      </c>
      <c r="V7" s="15">
        <f t="shared" si="3"/>
        <v>61.75</v>
      </c>
      <c r="W7" s="27"/>
      <c r="X7" s="26">
        <v>92</v>
      </c>
      <c r="Y7" s="26"/>
      <c r="Z7" s="26"/>
      <c r="AA7" s="26">
        <v>110</v>
      </c>
      <c r="AB7" s="26">
        <v>92</v>
      </c>
      <c r="AC7" s="26"/>
      <c r="AD7" s="25"/>
      <c r="AE7" s="16">
        <f t="shared" si="4"/>
        <v>294</v>
      </c>
      <c r="AF7" s="16">
        <f t="shared" si="5"/>
        <v>775</v>
      </c>
      <c r="AG7" s="15">
        <f t="shared" si="6"/>
        <v>61.75</v>
      </c>
      <c r="AH7" s="52"/>
      <c r="AI7" s="48"/>
      <c r="AJ7" s="48"/>
      <c r="AK7" s="48"/>
      <c r="AL7" s="48"/>
      <c r="AM7" s="49"/>
      <c r="AN7" s="48"/>
      <c r="AO7" s="48"/>
      <c r="AP7" s="16">
        <f t="shared" si="7"/>
        <v>0</v>
      </c>
      <c r="AQ7" s="16">
        <f t="shared" si="8"/>
        <v>775</v>
      </c>
      <c r="AR7" s="15">
        <f t="shared" si="9"/>
        <v>61.75</v>
      </c>
    </row>
    <row r="8" spans="1:44" s="28" customFormat="1" ht="15" customHeight="1" x14ac:dyDescent="0.25">
      <c r="A8" s="61" t="s">
        <v>13</v>
      </c>
      <c r="B8" s="61" t="s">
        <v>14</v>
      </c>
      <c r="C8" s="15">
        <v>24</v>
      </c>
      <c r="D8" s="60"/>
      <c r="E8" s="25"/>
      <c r="F8" s="25"/>
      <c r="G8" s="25">
        <v>87</v>
      </c>
      <c r="H8" s="25">
        <v>72</v>
      </c>
      <c r="I8" s="25"/>
      <c r="J8" s="25"/>
      <c r="K8" s="17">
        <f t="shared" si="0"/>
        <v>159</v>
      </c>
      <c r="L8" s="15">
        <v>48</v>
      </c>
      <c r="M8" s="25"/>
      <c r="N8" s="25">
        <v>44</v>
      </c>
      <c r="O8" s="25">
        <v>47</v>
      </c>
      <c r="P8" s="25"/>
      <c r="Q8" s="25"/>
      <c r="R8" s="25">
        <v>67</v>
      </c>
      <c r="S8" s="25">
        <v>86</v>
      </c>
      <c r="T8" s="16">
        <f t="shared" si="1"/>
        <v>244</v>
      </c>
      <c r="U8" s="16">
        <f t="shared" si="2"/>
        <v>403</v>
      </c>
      <c r="V8" s="15">
        <f t="shared" si="3"/>
        <v>72</v>
      </c>
      <c r="W8" s="15"/>
      <c r="X8" s="25">
        <v>69</v>
      </c>
      <c r="Y8" s="25"/>
      <c r="Z8" s="25"/>
      <c r="AA8" s="25">
        <v>69</v>
      </c>
      <c r="AB8" s="25">
        <v>65</v>
      </c>
      <c r="AC8" s="25"/>
      <c r="AD8" s="25"/>
      <c r="AE8" s="16">
        <f t="shared" si="4"/>
        <v>203</v>
      </c>
      <c r="AF8" s="16">
        <f t="shared" si="5"/>
        <v>606</v>
      </c>
      <c r="AG8" s="15">
        <f t="shared" si="6"/>
        <v>72</v>
      </c>
      <c r="AH8" s="46"/>
      <c r="AI8" s="50"/>
      <c r="AJ8" s="50"/>
      <c r="AK8" s="50"/>
      <c r="AL8" s="50"/>
      <c r="AM8" s="51"/>
      <c r="AN8" s="50"/>
      <c r="AO8" s="50"/>
      <c r="AP8" s="16">
        <f t="shared" si="7"/>
        <v>0</v>
      </c>
      <c r="AQ8" s="16">
        <f t="shared" si="8"/>
        <v>606</v>
      </c>
      <c r="AR8" s="15">
        <f t="shared" si="9"/>
        <v>72</v>
      </c>
    </row>
    <row r="9" spans="1:44" x14ac:dyDescent="0.25">
      <c r="A9" s="61" t="s">
        <v>21</v>
      </c>
      <c r="B9" s="61" t="s">
        <v>22</v>
      </c>
      <c r="C9" s="15">
        <v>24</v>
      </c>
      <c r="D9" s="60"/>
      <c r="E9" s="25"/>
      <c r="F9" s="25"/>
      <c r="G9" s="25">
        <v>138</v>
      </c>
      <c r="H9" s="25">
        <v>138</v>
      </c>
      <c r="I9" s="25"/>
      <c r="J9" s="25"/>
      <c r="K9" s="17">
        <f t="shared" si="0"/>
        <v>276</v>
      </c>
      <c r="L9" s="18">
        <v>59</v>
      </c>
      <c r="M9" s="30"/>
      <c r="N9" s="31">
        <v>70</v>
      </c>
      <c r="O9" s="31">
        <v>66</v>
      </c>
      <c r="P9" s="31">
        <v>140</v>
      </c>
      <c r="Q9" s="31"/>
      <c r="R9" s="31">
        <v>124</v>
      </c>
      <c r="S9" s="31">
        <v>134</v>
      </c>
      <c r="T9" s="16">
        <f t="shared" si="1"/>
        <v>534</v>
      </c>
      <c r="U9" s="16">
        <f t="shared" si="2"/>
        <v>810</v>
      </c>
      <c r="V9" s="15">
        <f t="shared" si="3"/>
        <v>83</v>
      </c>
      <c r="W9" s="15"/>
      <c r="X9" s="25">
        <v>89</v>
      </c>
      <c r="Y9" s="25"/>
      <c r="Z9" s="25"/>
      <c r="AA9" s="25">
        <v>138</v>
      </c>
      <c r="AB9" s="25">
        <v>136</v>
      </c>
      <c r="AC9" s="25"/>
      <c r="AD9" s="25"/>
      <c r="AE9" s="16">
        <f t="shared" si="4"/>
        <v>363</v>
      </c>
      <c r="AF9" s="16">
        <f t="shared" si="5"/>
        <v>1173</v>
      </c>
      <c r="AG9" s="15">
        <f t="shared" si="6"/>
        <v>83</v>
      </c>
      <c r="AH9" s="46"/>
      <c r="AI9" s="47"/>
      <c r="AJ9" s="47"/>
      <c r="AK9" s="47"/>
      <c r="AL9" s="47"/>
      <c r="AM9" s="45"/>
      <c r="AN9" s="47"/>
      <c r="AO9" s="47"/>
      <c r="AP9" s="16">
        <f t="shared" si="7"/>
        <v>0</v>
      </c>
      <c r="AQ9" s="16">
        <f t="shared" si="8"/>
        <v>1173</v>
      </c>
      <c r="AR9" s="15">
        <f t="shared" si="9"/>
        <v>83</v>
      </c>
    </row>
    <row r="10" spans="1:44" x14ac:dyDescent="0.25">
      <c r="A10" s="61" t="s">
        <v>50</v>
      </c>
      <c r="B10" s="61" t="s">
        <v>51</v>
      </c>
      <c r="C10" s="15">
        <v>23.75</v>
      </c>
      <c r="D10" s="60"/>
      <c r="E10" s="25"/>
      <c r="F10" s="25"/>
      <c r="G10" s="25">
        <v>60</v>
      </c>
      <c r="H10" s="25">
        <v>66</v>
      </c>
      <c r="I10" s="25"/>
      <c r="J10" s="25"/>
      <c r="K10" s="17">
        <f t="shared" si="0"/>
        <v>126</v>
      </c>
      <c r="L10" s="18">
        <v>47</v>
      </c>
      <c r="M10" s="31"/>
      <c r="N10" s="31">
        <v>37</v>
      </c>
      <c r="O10" s="31">
        <v>54</v>
      </c>
      <c r="P10" s="31"/>
      <c r="Q10" s="31"/>
      <c r="R10" s="31">
        <v>59</v>
      </c>
      <c r="S10" s="31">
        <v>73</v>
      </c>
      <c r="T10" s="16">
        <f t="shared" si="1"/>
        <v>223</v>
      </c>
      <c r="U10" s="16">
        <f t="shared" si="2"/>
        <v>349</v>
      </c>
      <c r="V10" s="15">
        <f t="shared" si="3"/>
        <v>70.75</v>
      </c>
      <c r="W10" s="15"/>
      <c r="X10" s="25">
        <v>72</v>
      </c>
      <c r="Y10" s="25"/>
      <c r="Z10" s="25"/>
      <c r="AA10" s="25">
        <v>94</v>
      </c>
      <c r="AB10" s="25">
        <v>92</v>
      </c>
      <c r="AC10" s="25"/>
      <c r="AD10" s="29"/>
      <c r="AE10" s="16">
        <f t="shared" si="4"/>
        <v>258</v>
      </c>
      <c r="AF10" s="16">
        <f t="shared" si="5"/>
        <v>607</v>
      </c>
      <c r="AG10" s="15">
        <f t="shared" si="6"/>
        <v>70.75</v>
      </c>
      <c r="AH10" s="46"/>
      <c r="AI10" s="47"/>
      <c r="AJ10" s="47"/>
      <c r="AK10" s="47"/>
      <c r="AL10" s="47"/>
      <c r="AM10" s="45"/>
      <c r="AN10" s="47"/>
      <c r="AO10" s="47"/>
      <c r="AP10" s="16">
        <f t="shared" si="7"/>
        <v>0</v>
      </c>
      <c r="AQ10" s="16">
        <f t="shared" si="8"/>
        <v>607</v>
      </c>
      <c r="AR10" s="15">
        <f t="shared" si="9"/>
        <v>70.75</v>
      </c>
    </row>
    <row r="11" spans="1:44" x14ac:dyDescent="0.25">
      <c r="A11" s="62" t="s">
        <v>27</v>
      </c>
      <c r="B11" s="62" t="s">
        <v>28</v>
      </c>
      <c r="C11" s="15">
        <v>23.5</v>
      </c>
      <c r="D11" s="60"/>
      <c r="E11" s="25"/>
      <c r="F11" s="25"/>
      <c r="G11" s="25">
        <v>58</v>
      </c>
      <c r="H11" s="25">
        <v>93</v>
      </c>
      <c r="I11" s="25"/>
      <c r="J11" s="25"/>
      <c r="K11" s="17">
        <f t="shared" si="0"/>
        <v>151</v>
      </c>
      <c r="L11" s="15">
        <v>47.5</v>
      </c>
      <c r="M11" s="25"/>
      <c r="N11" s="25">
        <v>23</v>
      </c>
      <c r="O11" s="25">
        <v>36</v>
      </c>
      <c r="P11" s="25"/>
      <c r="Q11" s="25"/>
      <c r="R11" s="25">
        <v>48</v>
      </c>
      <c r="S11" s="25">
        <v>39</v>
      </c>
      <c r="T11" s="16">
        <f t="shared" si="1"/>
        <v>146</v>
      </c>
      <c r="U11" s="16">
        <f t="shared" si="2"/>
        <v>297</v>
      </c>
      <c r="V11" s="15">
        <f t="shared" si="3"/>
        <v>71</v>
      </c>
      <c r="W11" s="15"/>
      <c r="X11" s="25">
        <v>36</v>
      </c>
      <c r="Y11" s="25"/>
      <c r="Z11" s="25"/>
      <c r="AA11" s="25"/>
      <c r="AB11" s="25"/>
      <c r="AC11" s="25"/>
      <c r="AD11" s="25"/>
      <c r="AE11" s="16">
        <f t="shared" si="4"/>
        <v>36</v>
      </c>
      <c r="AF11" s="16">
        <f t="shared" si="5"/>
        <v>333</v>
      </c>
      <c r="AG11" s="15">
        <f t="shared" si="6"/>
        <v>71</v>
      </c>
      <c r="AH11" s="46"/>
      <c r="AI11" s="50"/>
      <c r="AJ11" s="50"/>
      <c r="AK11" s="50"/>
      <c r="AL11" s="50"/>
      <c r="AM11" s="51"/>
      <c r="AN11" s="50"/>
      <c r="AO11" s="50"/>
      <c r="AP11" s="16">
        <f t="shared" si="7"/>
        <v>0</v>
      </c>
      <c r="AQ11" s="16">
        <f t="shared" si="8"/>
        <v>333</v>
      </c>
      <c r="AR11" s="15">
        <f t="shared" si="9"/>
        <v>71</v>
      </c>
    </row>
    <row r="12" spans="1:44" x14ac:dyDescent="0.25">
      <c r="A12" s="61" t="s">
        <v>23</v>
      </c>
      <c r="B12" s="61" t="s">
        <v>24</v>
      </c>
      <c r="C12" s="15">
        <v>21</v>
      </c>
      <c r="D12" s="60"/>
      <c r="E12" s="25"/>
      <c r="F12" s="25"/>
      <c r="G12" s="25">
        <v>128</v>
      </c>
      <c r="H12" s="25">
        <v>89</v>
      </c>
      <c r="I12" s="25"/>
      <c r="J12" s="25"/>
      <c r="K12" s="17">
        <f t="shared" si="0"/>
        <v>217</v>
      </c>
      <c r="L12" s="15">
        <v>40.75</v>
      </c>
      <c r="M12" s="25"/>
      <c r="N12" s="25">
        <v>60</v>
      </c>
      <c r="O12" s="25">
        <v>72</v>
      </c>
      <c r="P12" s="25"/>
      <c r="Q12" s="25"/>
      <c r="R12" s="25">
        <v>131</v>
      </c>
      <c r="S12" s="25">
        <v>48</v>
      </c>
      <c r="T12" s="16">
        <f t="shared" si="1"/>
        <v>311</v>
      </c>
      <c r="U12" s="16">
        <f t="shared" si="2"/>
        <v>528</v>
      </c>
      <c r="V12" s="15">
        <f t="shared" si="3"/>
        <v>61.75</v>
      </c>
      <c r="W12" s="15"/>
      <c r="X12" s="25">
        <v>122</v>
      </c>
      <c r="Y12" s="25"/>
      <c r="Z12" s="25">
        <v>145</v>
      </c>
      <c r="AA12" s="25">
        <v>158</v>
      </c>
      <c r="AB12" s="25">
        <v>98</v>
      </c>
      <c r="AC12" s="25"/>
      <c r="AD12" s="25"/>
      <c r="AE12" s="16">
        <f t="shared" si="4"/>
        <v>523</v>
      </c>
      <c r="AF12" s="16">
        <f t="shared" si="5"/>
        <v>1051</v>
      </c>
      <c r="AG12" s="15">
        <f t="shared" si="6"/>
        <v>61.75</v>
      </c>
      <c r="AH12" s="46"/>
      <c r="AI12" s="50"/>
      <c r="AJ12" s="50"/>
      <c r="AK12" s="50"/>
      <c r="AL12" s="50"/>
      <c r="AM12" s="51"/>
      <c r="AN12" s="50"/>
      <c r="AO12" s="50"/>
      <c r="AP12" s="16">
        <f t="shared" si="7"/>
        <v>0</v>
      </c>
      <c r="AQ12" s="16">
        <f t="shared" si="8"/>
        <v>1051</v>
      </c>
      <c r="AR12" s="15">
        <f t="shared" si="9"/>
        <v>61.75</v>
      </c>
    </row>
    <row r="13" spans="1:44" x14ac:dyDescent="0.25">
      <c r="A13" s="61" t="s">
        <v>37</v>
      </c>
      <c r="B13" s="61" t="s">
        <v>38</v>
      </c>
      <c r="C13" s="15">
        <v>51.5</v>
      </c>
      <c r="D13" s="60"/>
      <c r="E13" s="25">
        <v>140</v>
      </c>
      <c r="F13" s="25">
        <v>149</v>
      </c>
      <c r="G13" s="25"/>
      <c r="H13" s="25"/>
      <c r="I13" s="25">
        <v>155</v>
      </c>
      <c r="J13" s="25">
        <v>146</v>
      </c>
      <c r="K13" s="17">
        <f t="shared" si="0"/>
        <v>590</v>
      </c>
      <c r="L13" s="15">
        <v>38.75</v>
      </c>
      <c r="M13" s="25">
        <v>146</v>
      </c>
      <c r="N13" s="25"/>
      <c r="O13" s="25"/>
      <c r="P13" s="25">
        <v>147</v>
      </c>
      <c r="Q13" s="25">
        <v>155</v>
      </c>
      <c r="R13" s="25"/>
      <c r="S13" s="25"/>
      <c r="T13" s="16">
        <f t="shared" si="1"/>
        <v>448</v>
      </c>
      <c r="U13" s="16">
        <f t="shared" si="2"/>
        <v>1038</v>
      </c>
      <c r="V13" s="15">
        <f t="shared" si="3"/>
        <v>90.25</v>
      </c>
      <c r="W13" s="15"/>
      <c r="X13" s="25"/>
      <c r="Y13" s="25">
        <v>112</v>
      </c>
      <c r="Z13" s="25">
        <v>150</v>
      </c>
      <c r="AA13" s="25"/>
      <c r="AB13" s="25"/>
      <c r="AC13" s="25"/>
      <c r="AD13" s="25"/>
      <c r="AE13" s="16">
        <f t="shared" si="4"/>
        <v>262</v>
      </c>
      <c r="AF13" s="16">
        <f t="shared" si="5"/>
        <v>1300</v>
      </c>
      <c r="AG13" s="15">
        <f t="shared" si="6"/>
        <v>90.25</v>
      </c>
      <c r="AH13" s="46"/>
      <c r="AI13" s="50"/>
      <c r="AJ13" s="50"/>
      <c r="AK13" s="50"/>
      <c r="AL13" s="50"/>
      <c r="AM13" s="51"/>
      <c r="AN13" s="50"/>
      <c r="AO13" s="50"/>
      <c r="AP13" s="16">
        <f t="shared" si="7"/>
        <v>0</v>
      </c>
      <c r="AQ13" s="16">
        <f t="shared" si="8"/>
        <v>1300</v>
      </c>
      <c r="AR13" s="15">
        <f t="shared" si="9"/>
        <v>90.25</v>
      </c>
    </row>
    <row r="14" spans="1:44" x14ac:dyDescent="0.25">
      <c r="A14" s="61" t="s">
        <v>48</v>
      </c>
      <c r="B14" s="61" t="s">
        <v>49</v>
      </c>
      <c r="C14" s="15">
        <v>22.75</v>
      </c>
      <c r="D14" s="60"/>
      <c r="E14" s="25"/>
      <c r="F14" s="25"/>
      <c r="G14" s="25">
        <v>63</v>
      </c>
      <c r="H14" s="25">
        <v>77</v>
      </c>
      <c r="I14" s="25"/>
      <c r="J14" s="25"/>
      <c r="K14" s="17">
        <f t="shared" si="0"/>
        <v>140</v>
      </c>
      <c r="L14" s="15">
        <v>37.5</v>
      </c>
      <c r="M14" s="25"/>
      <c r="N14" s="25">
        <v>47</v>
      </c>
      <c r="O14" s="25">
        <v>46</v>
      </c>
      <c r="P14" s="25">
        <v>14</v>
      </c>
      <c r="Q14" s="25">
        <v>81</v>
      </c>
      <c r="R14" s="25"/>
      <c r="S14" s="25"/>
      <c r="T14" s="16">
        <f t="shared" si="1"/>
        <v>188</v>
      </c>
      <c r="U14" s="16">
        <f t="shared" si="2"/>
        <v>328</v>
      </c>
      <c r="V14" s="15">
        <f t="shared" si="3"/>
        <v>60.25</v>
      </c>
      <c r="W14" s="15"/>
      <c r="X14" s="25">
        <v>42</v>
      </c>
      <c r="Y14" s="25">
        <v>53</v>
      </c>
      <c r="Z14" s="25">
        <v>66</v>
      </c>
      <c r="AA14" s="25"/>
      <c r="AB14" s="25"/>
      <c r="AC14" s="25"/>
      <c r="AD14" s="25"/>
      <c r="AE14" s="16">
        <f t="shared" si="4"/>
        <v>161</v>
      </c>
      <c r="AF14" s="16">
        <f t="shared" si="5"/>
        <v>489</v>
      </c>
      <c r="AG14" s="15">
        <f t="shared" si="6"/>
        <v>60.25</v>
      </c>
      <c r="AH14" s="46"/>
      <c r="AI14" s="50"/>
      <c r="AJ14" s="50"/>
      <c r="AK14" s="50"/>
      <c r="AL14" s="50"/>
      <c r="AM14" s="51"/>
      <c r="AN14" s="50"/>
      <c r="AO14" s="50"/>
      <c r="AP14" s="16">
        <f t="shared" si="7"/>
        <v>0</v>
      </c>
      <c r="AQ14" s="16">
        <f t="shared" si="8"/>
        <v>489</v>
      </c>
      <c r="AR14" s="15">
        <f t="shared" si="9"/>
        <v>60.25</v>
      </c>
    </row>
    <row r="15" spans="1:44" x14ac:dyDescent="0.25">
      <c r="A15" s="62" t="s">
        <v>19</v>
      </c>
      <c r="B15" s="62" t="s">
        <v>20</v>
      </c>
      <c r="C15" s="15">
        <v>43</v>
      </c>
      <c r="D15" s="60"/>
      <c r="E15" s="25">
        <v>54</v>
      </c>
      <c r="F15" s="25">
        <v>80</v>
      </c>
      <c r="G15" s="25"/>
      <c r="H15" s="25"/>
      <c r="I15" s="25">
        <v>129</v>
      </c>
      <c r="J15" s="25">
        <v>74</v>
      </c>
      <c r="K15" s="17">
        <f t="shared" si="0"/>
        <v>337</v>
      </c>
      <c r="L15" s="15">
        <v>40.5</v>
      </c>
      <c r="M15" s="25">
        <v>65</v>
      </c>
      <c r="N15" s="25"/>
      <c r="O15" s="25"/>
      <c r="P15" s="25">
        <v>100</v>
      </c>
      <c r="Q15" s="25">
        <v>122</v>
      </c>
      <c r="R15" s="25"/>
      <c r="S15" s="25"/>
      <c r="T15" s="16">
        <f t="shared" si="1"/>
        <v>287</v>
      </c>
      <c r="U15" s="16">
        <f t="shared" si="2"/>
        <v>624</v>
      </c>
      <c r="V15" s="15">
        <f t="shared" si="3"/>
        <v>83.5</v>
      </c>
      <c r="W15" s="15"/>
      <c r="X15" s="25"/>
      <c r="Y15" s="25">
        <v>98</v>
      </c>
      <c r="Z15" s="25">
        <v>100</v>
      </c>
      <c r="AA15" s="25"/>
      <c r="AB15" s="25"/>
      <c r="AC15" s="25"/>
      <c r="AD15" s="25"/>
      <c r="AE15" s="16">
        <f t="shared" si="4"/>
        <v>198</v>
      </c>
      <c r="AF15" s="16">
        <f t="shared" si="5"/>
        <v>822</v>
      </c>
      <c r="AG15" s="15">
        <f t="shared" si="6"/>
        <v>83.5</v>
      </c>
      <c r="AH15" s="46"/>
      <c r="AI15" s="50"/>
      <c r="AJ15" s="50"/>
      <c r="AK15" s="50"/>
      <c r="AL15" s="50"/>
      <c r="AM15" s="51"/>
      <c r="AN15" s="50"/>
      <c r="AO15" s="50"/>
      <c r="AP15" s="16">
        <f t="shared" si="7"/>
        <v>0</v>
      </c>
      <c r="AQ15" s="16">
        <f t="shared" si="8"/>
        <v>822</v>
      </c>
      <c r="AR15" s="15">
        <f t="shared" si="9"/>
        <v>83.5</v>
      </c>
    </row>
    <row r="16" spans="1:44" x14ac:dyDescent="0.25">
      <c r="A16" s="62" t="s">
        <v>35</v>
      </c>
      <c r="B16" s="62" t="s">
        <v>36</v>
      </c>
      <c r="C16" s="15">
        <v>31.75</v>
      </c>
      <c r="D16" s="60"/>
      <c r="E16" s="25">
        <v>55</v>
      </c>
      <c r="F16" s="25">
        <v>106</v>
      </c>
      <c r="G16" s="25"/>
      <c r="H16" s="25"/>
      <c r="I16" s="25"/>
      <c r="J16" s="25">
        <v>110</v>
      </c>
      <c r="K16" s="17">
        <f t="shared" si="0"/>
        <v>271</v>
      </c>
      <c r="L16" s="15">
        <v>43.5</v>
      </c>
      <c r="M16" s="25">
        <v>95</v>
      </c>
      <c r="N16" s="25"/>
      <c r="O16" s="25"/>
      <c r="P16" s="25">
        <v>106</v>
      </c>
      <c r="Q16" s="25">
        <v>114</v>
      </c>
      <c r="R16" s="25">
        <v>62</v>
      </c>
      <c r="S16" s="25"/>
      <c r="T16" s="16">
        <f t="shared" si="1"/>
        <v>377</v>
      </c>
      <c r="U16" s="16">
        <f t="shared" si="2"/>
        <v>648</v>
      </c>
      <c r="V16" s="15">
        <f t="shared" si="3"/>
        <v>75.25</v>
      </c>
      <c r="W16" s="15"/>
      <c r="X16" s="25"/>
      <c r="Y16" s="25">
        <v>126</v>
      </c>
      <c r="Z16" s="25">
        <v>122</v>
      </c>
      <c r="AA16" s="25"/>
      <c r="AB16" s="25"/>
      <c r="AC16" s="25"/>
      <c r="AD16" s="25"/>
      <c r="AE16" s="16">
        <f t="shared" si="4"/>
        <v>248</v>
      </c>
      <c r="AF16" s="16">
        <f t="shared" si="5"/>
        <v>896</v>
      </c>
      <c r="AG16" s="15">
        <f t="shared" si="6"/>
        <v>75.25</v>
      </c>
      <c r="AH16" s="46"/>
      <c r="AI16" s="50"/>
      <c r="AJ16" s="50"/>
      <c r="AK16" s="50"/>
      <c r="AL16" s="50"/>
      <c r="AM16" s="51"/>
      <c r="AN16" s="50"/>
      <c r="AO16" s="50"/>
      <c r="AP16" s="16">
        <f t="shared" si="7"/>
        <v>0</v>
      </c>
      <c r="AQ16" s="16">
        <f t="shared" si="8"/>
        <v>896</v>
      </c>
      <c r="AR16" s="15">
        <f t="shared" si="9"/>
        <v>75.25</v>
      </c>
    </row>
    <row r="17" spans="1:44" x14ac:dyDescent="0.25">
      <c r="A17" s="63" t="s">
        <v>17</v>
      </c>
      <c r="B17" s="63" t="s">
        <v>18</v>
      </c>
      <c r="C17" s="15">
        <v>32</v>
      </c>
      <c r="D17" s="60"/>
      <c r="E17" s="25">
        <v>59</v>
      </c>
      <c r="F17" s="25">
        <v>110</v>
      </c>
      <c r="G17" s="25"/>
      <c r="H17" s="25"/>
      <c r="I17" s="25">
        <v>102</v>
      </c>
      <c r="J17" s="25"/>
      <c r="K17" s="17">
        <f t="shared" si="0"/>
        <v>271</v>
      </c>
      <c r="L17" s="15">
        <v>35.25</v>
      </c>
      <c r="M17" s="25">
        <v>103</v>
      </c>
      <c r="N17" s="25"/>
      <c r="O17" s="25"/>
      <c r="P17" s="25">
        <v>103</v>
      </c>
      <c r="Q17" s="25">
        <v>105</v>
      </c>
      <c r="R17" s="25"/>
      <c r="S17" s="25"/>
      <c r="T17" s="16">
        <f t="shared" si="1"/>
        <v>311</v>
      </c>
      <c r="U17" s="16">
        <f t="shared" si="2"/>
        <v>582</v>
      </c>
      <c r="V17" s="15">
        <f t="shared" si="3"/>
        <v>67.25</v>
      </c>
      <c r="W17" s="15"/>
      <c r="X17" s="25"/>
      <c r="Y17" s="25"/>
      <c r="Z17" s="25"/>
      <c r="AA17" s="25"/>
      <c r="AB17" s="25"/>
      <c r="AC17" s="25"/>
      <c r="AD17" s="25"/>
      <c r="AE17" s="16">
        <f t="shared" si="4"/>
        <v>0</v>
      </c>
      <c r="AF17" s="16">
        <f t="shared" si="5"/>
        <v>582</v>
      </c>
      <c r="AG17" s="15">
        <f t="shared" si="6"/>
        <v>67.25</v>
      </c>
      <c r="AH17" s="46"/>
      <c r="AI17" s="50"/>
      <c r="AJ17" s="50"/>
      <c r="AK17" s="50"/>
      <c r="AL17" s="50"/>
      <c r="AM17" s="51"/>
      <c r="AN17" s="50"/>
      <c r="AO17" s="50"/>
      <c r="AP17" s="16">
        <f t="shared" si="7"/>
        <v>0</v>
      </c>
      <c r="AQ17" s="16">
        <f t="shared" si="8"/>
        <v>582</v>
      </c>
      <c r="AR17" s="15">
        <f t="shared" si="9"/>
        <v>67.25</v>
      </c>
    </row>
    <row r="18" spans="1:44" x14ac:dyDescent="0.25">
      <c r="A18" s="62" t="s">
        <v>39</v>
      </c>
      <c r="B18" s="62" t="s">
        <v>40</v>
      </c>
      <c r="C18" s="15">
        <v>44</v>
      </c>
      <c r="D18" s="60"/>
      <c r="E18" s="25">
        <v>134</v>
      </c>
      <c r="F18" s="25">
        <v>120</v>
      </c>
      <c r="G18" s="25"/>
      <c r="H18" s="25"/>
      <c r="I18" s="25">
        <v>117</v>
      </c>
      <c r="J18" s="25">
        <v>125</v>
      </c>
      <c r="K18" s="17">
        <f t="shared" si="0"/>
        <v>496</v>
      </c>
      <c r="L18" s="15">
        <v>34.75</v>
      </c>
      <c r="M18" s="25">
        <v>141</v>
      </c>
      <c r="N18" s="25"/>
      <c r="O18" s="25"/>
      <c r="P18" s="25">
        <v>107</v>
      </c>
      <c r="Q18" s="25">
        <v>152</v>
      </c>
      <c r="R18" s="25"/>
      <c r="S18" s="25"/>
      <c r="T18" s="16">
        <f t="shared" si="1"/>
        <v>400</v>
      </c>
      <c r="U18" s="16">
        <f t="shared" si="2"/>
        <v>896</v>
      </c>
      <c r="V18" s="15">
        <f t="shared" si="3"/>
        <v>78.75</v>
      </c>
      <c r="W18" s="15"/>
      <c r="X18" s="25"/>
      <c r="Y18" s="25">
        <v>102</v>
      </c>
      <c r="Z18" s="25"/>
      <c r="AA18" s="25"/>
      <c r="AB18" s="25"/>
      <c r="AC18" s="25"/>
      <c r="AD18" s="25"/>
      <c r="AE18" s="16">
        <f t="shared" si="4"/>
        <v>102</v>
      </c>
      <c r="AF18" s="16">
        <f t="shared" si="5"/>
        <v>998</v>
      </c>
      <c r="AG18" s="15">
        <f t="shared" si="6"/>
        <v>78.75</v>
      </c>
      <c r="AH18" s="46"/>
      <c r="AI18" s="50"/>
      <c r="AJ18" s="50"/>
      <c r="AK18" s="50"/>
      <c r="AL18" s="50"/>
      <c r="AM18" s="51"/>
      <c r="AN18" s="50"/>
      <c r="AO18" s="50"/>
      <c r="AP18" s="16">
        <f t="shared" si="7"/>
        <v>0</v>
      </c>
      <c r="AQ18" s="16">
        <f t="shared" si="8"/>
        <v>998</v>
      </c>
      <c r="AR18" s="15">
        <f t="shared" si="9"/>
        <v>78.75</v>
      </c>
    </row>
    <row r="19" spans="1:44" x14ac:dyDescent="0.25">
      <c r="A19" s="62" t="s">
        <v>47</v>
      </c>
      <c r="B19" s="62" t="s">
        <v>40</v>
      </c>
      <c r="C19" s="15">
        <v>62.5</v>
      </c>
      <c r="D19" s="60"/>
      <c r="E19" s="25">
        <v>78</v>
      </c>
      <c r="F19" s="25">
        <v>86</v>
      </c>
      <c r="G19" s="25"/>
      <c r="H19" s="25"/>
      <c r="I19" s="25">
        <v>77</v>
      </c>
      <c r="J19" s="25">
        <v>67</v>
      </c>
      <c r="K19" s="17">
        <f t="shared" si="0"/>
        <v>308</v>
      </c>
      <c r="L19" s="15">
        <v>59</v>
      </c>
      <c r="M19" s="25">
        <v>88</v>
      </c>
      <c r="N19" s="25">
        <v>30</v>
      </c>
      <c r="O19" s="25">
        <v>49</v>
      </c>
      <c r="P19" s="25">
        <v>41</v>
      </c>
      <c r="Q19" s="25">
        <v>83</v>
      </c>
      <c r="R19" s="25"/>
      <c r="S19" s="25"/>
      <c r="T19" s="16">
        <f t="shared" si="1"/>
        <v>291</v>
      </c>
      <c r="U19" s="16">
        <f t="shared" si="2"/>
        <v>599</v>
      </c>
      <c r="V19" s="15">
        <f t="shared" si="3"/>
        <v>121.5</v>
      </c>
      <c r="W19" s="15"/>
      <c r="X19" s="25">
        <v>56</v>
      </c>
      <c r="Y19" s="25">
        <v>85</v>
      </c>
      <c r="Z19" s="25">
        <v>174</v>
      </c>
      <c r="AA19" s="25"/>
      <c r="AB19" s="25">
        <v>72</v>
      </c>
      <c r="AC19" s="25"/>
      <c r="AD19" s="25"/>
      <c r="AE19" s="16">
        <f t="shared" si="4"/>
        <v>387</v>
      </c>
      <c r="AF19" s="16">
        <f t="shared" si="5"/>
        <v>986</v>
      </c>
      <c r="AG19" s="15">
        <f t="shared" si="6"/>
        <v>121.5</v>
      </c>
      <c r="AH19" s="46"/>
      <c r="AI19" s="50"/>
      <c r="AJ19" s="50"/>
      <c r="AK19" s="50"/>
      <c r="AL19" s="50"/>
      <c r="AM19" s="51"/>
      <c r="AN19" s="50"/>
      <c r="AO19" s="50"/>
      <c r="AP19" s="16">
        <f t="shared" si="7"/>
        <v>0</v>
      </c>
      <c r="AQ19" s="16">
        <f t="shared" si="8"/>
        <v>986</v>
      </c>
      <c r="AR19" s="15">
        <f t="shared" si="9"/>
        <v>121.5</v>
      </c>
    </row>
  </sheetData>
  <autoFilter ref="A2:B2" xr:uid="{0BB2425E-8D8B-4265-ABAB-B2B66C76A379}">
    <sortState xmlns:xlrd2="http://schemas.microsoft.com/office/spreadsheetml/2017/richdata2" ref="A3:B20">
      <sortCondition ref="B2"/>
    </sortState>
  </autoFilter>
  <mergeCells count="7">
    <mergeCell ref="AH1:AR1"/>
    <mergeCell ref="A1:B1"/>
    <mergeCell ref="C1:J1"/>
    <mergeCell ref="L1:S1"/>
    <mergeCell ref="T1:V1"/>
    <mergeCell ref="W1:AD1"/>
    <mergeCell ref="AE1:A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B8950-C1E4-460D-B011-86A81E4D7226}">
  <sheetPr>
    <tabColor theme="6" tint="0.39997558519241921"/>
    <pageSetUpPr fitToPage="1"/>
  </sheetPr>
  <dimension ref="B1:J20"/>
  <sheetViews>
    <sheetView zoomScale="40" zoomScaleNormal="40" workbookViewId="0">
      <selection activeCell="B2" sqref="B2:J20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41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33">
        <v>1</v>
      </c>
      <c r="D6" s="33" t="s">
        <v>37</v>
      </c>
      <c r="E6" s="33" t="s">
        <v>38</v>
      </c>
      <c r="F6" s="34">
        <v>182.75</v>
      </c>
      <c r="G6" s="35">
        <v>2030</v>
      </c>
      <c r="H6" s="35">
        <f t="shared" ref="H6:H19" si="0">G6/F6</f>
        <v>11.108071135430917</v>
      </c>
      <c r="I6" s="35">
        <f t="shared" ref="I6:I19" si="1">H6*12</f>
        <v>133.296853625171</v>
      </c>
      <c r="J6" s="88"/>
    </row>
    <row r="7" spans="2:10" ht="93.75" x14ac:dyDescent="1.4">
      <c r="B7" s="86"/>
      <c r="C7" s="36">
        <v>2</v>
      </c>
      <c r="D7" s="36" t="s">
        <v>23</v>
      </c>
      <c r="E7" s="36" t="s">
        <v>24</v>
      </c>
      <c r="F7" s="37">
        <v>172.75</v>
      </c>
      <c r="G7" s="38">
        <v>1762</v>
      </c>
      <c r="H7" s="38">
        <f t="shared" si="0"/>
        <v>10.199710564399421</v>
      </c>
      <c r="I7" s="38">
        <f t="shared" si="1"/>
        <v>122.39652677279305</v>
      </c>
      <c r="J7" s="88"/>
    </row>
    <row r="8" spans="2:10" ht="93.75" x14ac:dyDescent="1.4">
      <c r="B8" s="86"/>
      <c r="C8" s="36">
        <v>4</v>
      </c>
      <c r="D8" s="36" t="s">
        <v>29</v>
      </c>
      <c r="E8" s="36" t="s">
        <v>30</v>
      </c>
      <c r="F8" s="37">
        <v>60.5</v>
      </c>
      <c r="G8" s="38">
        <v>590</v>
      </c>
      <c r="H8" s="38">
        <f t="shared" si="0"/>
        <v>9.7520661157024797</v>
      </c>
      <c r="I8" s="38">
        <f t="shared" si="1"/>
        <v>117.02479338842976</v>
      </c>
      <c r="J8" s="88"/>
    </row>
    <row r="9" spans="2:10" ht="93.75" x14ac:dyDescent="1.4">
      <c r="B9" s="86"/>
      <c r="C9" s="53">
        <v>5</v>
      </c>
      <c r="D9" s="53" t="s">
        <v>25</v>
      </c>
      <c r="E9" s="53" t="s">
        <v>26</v>
      </c>
      <c r="F9" s="54">
        <v>145.25</v>
      </c>
      <c r="G9" s="56">
        <v>1308</v>
      </c>
      <c r="H9" s="56">
        <f t="shared" si="0"/>
        <v>9.0051635111876074</v>
      </c>
      <c r="I9" s="56">
        <f t="shared" si="1"/>
        <v>108.06196213425129</v>
      </c>
      <c r="J9" s="88"/>
    </row>
    <row r="10" spans="2:10" ht="93.75" x14ac:dyDescent="1.4">
      <c r="B10" s="86"/>
      <c r="C10" s="53">
        <v>6</v>
      </c>
      <c r="D10" s="53" t="s">
        <v>39</v>
      </c>
      <c r="E10" s="53" t="s">
        <v>40</v>
      </c>
      <c r="F10" s="54">
        <v>174</v>
      </c>
      <c r="G10" s="55">
        <v>1555</v>
      </c>
      <c r="H10" s="56">
        <f t="shared" si="0"/>
        <v>8.9367816091954015</v>
      </c>
      <c r="I10" s="56">
        <f t="shared" si="1"/>
        <v>107.24137931034483</v>
      </c>
      <c r="J10" s="88"/>
    </row>
    <row r="11" spans="2:10" ht="93.75" x14ac:dyDescent="1.4">
      <c r="B11" s="86"/>
      <c r="C11" s="53">
        <v>7</v>
      </c>
      <c r="D11" s="53" t="s">
        <v>35</v>
      </c>
      <c r="E11" s="53" t="s">
        <v>36</v>
      </c>
      <c r="F11" s="54">
        <v>172</v>
      </c>
      <c r="G11" s="56">
        <v>1535</v>
      </c>
      <c r="H11" s="56">
        <f t="shared" si="0"/>
        <v>8.9244186046511622</v>
      </c>
      <c r="I11" s="56">
        <f t="shared" si="1"/>
        <v>107.09302325581395</v>
      </c>
      <c r="J11" s="88"/>
    </row>
    <row r="12" spans="2:10" ht="93.75" x14ac:dyDescent="1.4">
      <c r="B12" s="86"/>
      <c r="C12" s="53">
        <v>8</v>
      </c>
      <c r="D12" s="53" t="s">
        <v>15</v>
      </c>
      <c r="E12" s="53" t="s">
        <v>16</v>
      </c>
      <c r="F12" s="54">
        <v>162</v>
      </c>
      <c r="G12" s="56">
        <v>1423</v>
      </c>
      <c r="H12" s="56">
        <f t="shared" si="0"/>
        <v>8.783950617283951</v>
      </c>
      <c r="I12" s="56">
        <f t="shared" si="1"/>
        <v>105.40740740740742</v>
      </c>
      <c r="J12" s="88"/>
    </row>
    <row r="13" spans="2:10" ht="93.75" x14ac:dyDescent="1.4">
      <c r="B13" s="86"/>
      <c r="C13" s="53">
        <v>9</v>
      </c>
      <c r="D13" s="53" t="s">
        <v>17</v>
      </c>
      <c r="E13" s="53" t="s">
        <v>18</v>
      </c>
      <c r="F13" s="54">
        <v>151.25</v>
      </c>
      <c r="G13" s="56">
        <v>1327</v>
      </c>
      <c r="H13" s="56">
        <f t="shared" si="0"/>
        <v>8.7735537190082642</v>
      </c>
      <c r="I13" s="56">
        <f t="shared" si="1"/>
        <v>105.28264462809918</v>
      </c>
      <c r="J13" s="88"/>
    </row>
    <row r="14" spans="2:10" ht="93.75" x14ac:dyDescent="1.4">
      <c r="B14" s="86"/>
      <c r="C14" s="53">
        <v>10</v>
      </c>
      <c r="D14" s="53" t="s">
        <v>21</v>
      </c>
      <c r="E14" s="53" t="s">
        <v>22</v>
      </c>
      <c r="F14" s="54">
        <v>177.5</v>
      </c>
      <c r="G14" s="56">
        <v>1551</v>
      </c>
      <c r="H14" s="56">
        <f t="shared" si="0"/>
        <v>8.7380281690140844</v>
      </c>
      <c r="I14" s="56">
        <f t="shared" si="1"/>
        <v>104.85633802816901</v>
      </c>
      <c r="J14" s="88"/>
    </row>
    <row r="15" spans="2:10" ht="93.75" x14ac:dyDescent="1.4">
      <c r="B15" s="86"/>
      <c r="C15" s="39">
        <v>11</v>
      </c>
      <c r="D15" s="39" t="s">
        <v>31</v>
      </c>
      <c r="E15" s="39" t="s">
        <v>32</v>
      </c>
      <c r="F15" s="40">
        <v>120</v>
      </c>
      <c r="G15" s="41">
        <v>893</v>
      </c>
      <c r="H15" s="41">
        <f t="shared" si="0"/>
        <v>7.4416666666666664</v>
      </c>
      <c r="I15" s="41">
        <f t="shared" si="1"/>
        <v>89.3</v>
      </c>
      <c r="J15" s="88"/>
    </row>
    <row r="16" spans="2:10" ht="93.75" x14ac:dyDescent="1.4">
      <c r="B16" s="86"/>
      <c r="C16" s="39">
        <v>12</v>
      </c>
      <c r="D16" s="39" t="s">
        <v>19</v>
      </c>
      <c r="E16" s="39" t="s">
        <v>20</v>
      </c>
      <c r="F16" s="40">
        <v>169.75</v>
      </c>
      <c r="G16" s="41">
        <v>1251</v>
      </c>
      <c r="H16" s="41">
        <f t="shared" si="0"/>
        <v>7.3696612665684826</v>
      </c>
      <c r="I16" s="41">
        <f t="shared" si="1"/>
        <v>88.435935198821795</v>
      </c>
      <c r="J16" s="88"/>
    </row>
    <row r="17" spans="2:10" ht="90.75" customHeight="1" x14ac:dyDescent="1.4">
      <c r="B17" s="86"/>
      <c r="C17" s="39">
        <v>13</v>
      </c>
      <c r="D17" s="39" t="s">
        <v>33</v>
      </c>
      <c r="E17" s="39" t="s">
        <v>34</v>
      </c>
      <c r="F17" s="40">
        <v>114.5</v>
      </c>
      <c r="G17" s="41">
        <v>767</v>
      </c>
      <c r="H17" s="41">
        <f t="shared" si="0"/>
        <v>6.6986899563318776</v>
      </c>
      <c r="I17" s="41">
        <f t="shared" si="1"/>
        <v>80.384279475982538</v>
      </c>
      <c r="J17" s="88"/>
    </row>
    <row r="18" spans="2:10" ht="90.75" customHeight="1" x14ac:dyDescent="1.4">
      <c r="B18" s="86"/>
      <c r="C18" s="42">
        <v>14</v>
      </c>
      <c r="D18" s="42" t="s">
        <v>27</v>
      </c>
      <c r="E18" s="42" t="s">
        <v>28</v>
      </c>
      <c r="F18" s="43">
        <v>171</v>
      </c>
      <c r="G18" s="44">
        <v>1132</v>
      </c>
      <c r="H18" s="44">
        <f t="shared" si="0"/>
        <v>6.6198830409356724</v>
      </c>
      <c r="I18" s="44">
        <f t="shared" si="1"/>
        <v>79.438596491228068</v>
      </c>
      <c r="J18" s="88"/>
    </row>
    <row r="19" spans="2:10" ht="93.75" x14ac:dyDescent="1.4">
      <c r="B19" s="86"/>
      <c r="C19" s="42">
        <v>15</v>
      </c>
      <c r="D19" s="42" t="s">
        <v>13</v>
      </c>
      <c r="E19" s="42" t="s">
        <v>14</v>
      </c>
      <c r="F19" s="43">
        <v>184.75</v>
      </c>
      <c r="G19" s="44">
        <v>1087</v>
      </c>
      <c r="H19" s="44">
        <f t="shared" si="0"/>
        <v>5.8836265223274697</v>
      </c>
      <c r="I19" s="44">
        <f t="shared" si="1"/>
        <v>70.603518267929644</v>
      </c>
      <c r="J19" s="88"/>
    </row>
    <row r="20" spans="2:10" ht="96" customHeight="1" thickBot="1" x14ac:dyDescent="0.3">
      <c r="B20" s="87"/>
      <c r="C20" s="90"/>
      <c r="D20" s="90"/>
      <c r="E20" s="90"/>
      <c r="F20" s="90"/>
      <c r="G20" s="90"/>
      <c r="H20" s="90"/>
      <c r="I20" s="90"/>
      <c r="J20" s="89"/>
    </row>
  </sheetData>
  <autoFilter ref="D5:I5" xr:uid="{7E6B8950-C1E4-460D-B011-86A81E4D7226}">
    <sortState xmlns:xlrd2="http://schemas.microsoft.com/office/spreadsheetml/2017/richdata2" ref="D6:I19">
      <sortCondition descending="1" ref="I5"/>
    </sortState>
  </autoFilter>
  <mergeCells count="5">
    <mergeCell ref="B2:J2"/>
    <mergeCell ref="B3:J4"/>
    <mergeCell ref="B5:B20"/>
    <mergeCell ref="J5:J20"/>
    <mergeCell ref="C20:I20"/>
  </mergeCells>
  <printOptions horizontalCentered="1" verticalCentered="1"/>
  <pageMargins left="0" right="0" top="0" bottom="0" header="0" footer="0"/>
  <pageSetup paperSize="3" scale="35"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F41B8-B2D8-467B-987D-ADAFC4F9F53C}">
  <sheetPr>
    <pageSetUpPr fitToPage="1"/>
  </sheetPr>
  <dimension ref="B1:J23"/>
  <sheetViews>
    <sheetView zoomScale="25" zoomScaleNormal="25" workbookViewId="0">
      <selection activeCell="B2" sqref="B2:J23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42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33">
        <v>1</v>
      </c>
      <c r="D6" s="33" t="s">
        <v>37</v>
      </c>
      <c r="E6" s="33" t="s">
        <v>38</v>
      </c>
      <c r="F6" s="34">
        <v>90.25</v>
      </c>
      <c r="G6" s="35">
        <v>1038</v>
      </c>
      <c r="H6" s="35">
        <f t="shared" ref="H6:H22" si="0">G6/F6</f>
        <v>11.501385041551247</v>
      </c>
      <c r="I6" s="35">
        <f t="shared" ref="I6:I22" si="1">H6*12</f>
        <v>138.01662049861497</v>
      </c>
      <c r="J6" s="88"/>
    </row>
    <row r="7" spans="2:10" ht="93.75" x14ac:dyDescent="1.4">
      <c r="B7" s="86"/>
      <c r="C7" s="33">
        <v>2</v>
      </c>
      <c r="D7" s="33" t="s">
        <v>39</v>
      </c>
      <c r="E7" s="33" t="s">
        <v>40</v>
      </c>
      <c r="F7" s="34">
        <v>78.75</v>
      </c>
      <c r="G7" s="35">
        <v>896</v>
      </c>
      <c r="H7" s="35">
        <f t="shared" si="0"/>
        <v>11.377777777777778</v>
      </c>
      <c r="I7" s="35">
        <f t="shared" si="1"/>
        <v>136.53333333333333</v>
      </c>
      <c r="J7" s="88"/>
    </row>
    <row r="8" spans="2:10" ht="93.75" x14ac:dyDescent="1.4">
      <c r="B8" s="86"/>
      <c r="C8" s="33">
        <v>3</v>
      </c>
      <c r="D8" s="33" t="s">
        <v>29</v>
      </c>
      <c r="E8" s="33" t="s">
        <v>30</v>
      </c>
      <c r="F8" s="34">
        <v>49</v>
      </c>
      <c r="G8" s="69">
        <v>542</v>
      </c>
      <c r="H8" s="35">
        <f t="shared" si="0"/>
        <v>11.061224489795919</v>
      </c>
      <c r="I8" s="35">
        <f t="shared" si="1"/>
        <v>132.73469387755102</v>
      </c>
      <c r="J8" s="88"/>
    </row>
    <row r="9" spans="2:10" ht="93.75" x14ac:dyDescent="1.4">
      <c r="B9" s="86"/>
      <c r="C9" s="36">
        <v>4</v>
      </c>
      <c r="D9" s="36" t="s">
        <v>21</v>
      </c>
      <c r="E9" s="36" t="s">
        <v>22</v>
      </c>
      <c r="F9" s="37">
        <v>83</v>
      </c>
      <c r="G9" s="38">
        <v>810</v>
      </c>
      <c r="H9" s="38">
        <f t="shared" si="0"/>
        <v>9.7590361445783138</v>
      </c>
      <c r="I9" s="38">
        <f t="shared" si="1"/>
        <v>117.10843373493977</v>
      </c>
      <c r="J9" s="88"/>
    </row>
    <row r="10" spans="2:10" ht="93.75" x14ac:dyDescent="1.4">
      <c r="B10" s="86"/>
      <c r="C10" s="36">
        <v>5</v>
      </c>
      <c r="D10" s="36" t="s">
        <v>17</v>
      </c>
      <c r="E10" s="36" t="s">
        <v>18</v>
      </c>
      <c r="F10" s="37">
        <v>67.25</v>
      </c>
      <c r="G10" s="38">
        <v>582</v>
      </c>
      <c r="H10" s="38">
        <f t="shared" si="0"/>
        <v>8.6542750929368033</v>
      </c>
      <c r="I10" s="38">
        <f t="shared" si="1"/>
        <v>103.85130111524164</v>
      </c>
      <c r="J10" s="88"/>
    </row>
    <row r="11" spans="2:10" ht="93.75" x14ac:dyDescent="1.4">
      <c r="B11" s="86"/>
      <c r="C11" s="36">
        <v>6</v>
      </c>
      <c r="D11" s="36" t="s">
        <v>35</v>
      </c>
      <c r="E11" s="36" t="s">
        <v>36</v>
      </c>
      <c r="F11" s="37">
        <v>75.25</v>
      </c>
      <c r="G11" s="38">
        <v>648</v>
      </c>
      <c r="H11" s="38">
        <f t="shared" si="0"/>
        <v>8.6112956810631225</v>
      </c>
      <c r="I11" s="38">
        <f t="shared" si="1"/>
        <v>103.33554817275747</v>
      </c>
      <c r="J11" s="88"/>
    </row>
    <row r="12" spans="2:10" ht="93.75" x14ac:dyDescent="1.4">
      <c r="B12" s="86"/>
      <c r="C12" s="36">
        <v>7</v>
      </c>
      <c r="D12" s="36" t="s">
        <v>23</v>
      </c>
      <c r="E12" s="36" t="s">
        <v>24</v>
      </c>
      <c r="F12" s="37">
        <v>61.75</v>
      </c>
      <c r="G12" s="38">
        <v>528</v>
      </c>
      <c r="H12" s="38">
        <f t="shared" si="0"/>
        <v>8.5506072874493935</v>
      </c>
      <c r="I12" s="38">
        <f t="shared" si="1"/>
        <v>102.60728744939271</v>
      </c>
      <c r="J12" s="88"/>
    </row>
    <row r="13" spans="2:10" ht="93.75" x14ac:dyDescent="1.4">
      <c r="B13" s="86"/>
      <c r="C13" s="53">
        <v>8</v>
      </c>
      <c r="D13" s="53" t="s">
        <v>25</v>
      </c>
      <c r="E13" s="53" t="s">
        <v>26</v>
      </c>
      <c r="F13" s="54">
        <v>52.25</v>
      </c>
      <c r="G13" s="56">
        <v>415</v>
      </c>
      <c r="H13" s="56">
        <f t="shared" si="0"/>
        <v>7.9425837320574164</v>
      </c>
      <c r="I13" s="56">
        <f t="shared" si="1"/>
        <v>95.311004784689004</v>
      </c>
      <c r="J13" s="88"/>
    </row>
    <row r="14" spans="2:10" ht="93.75" x14ac:dyDescent="1.4">
      <c r="B14" s="86"/>
      <c r="C14" s="53">
        <v>9</v>
      </c>
      <c r="D14" s="53" t="s">
        <v>15</v>
      </c>
      <c r="E14" s="53" t="s">
        <v>16</v>
      </c>
      <c r="F14" s="54">
        <v>61.75</v>
      </c>
      <c r="G14" s="56">
        <v>481</v>
      </c>
      <c r="H14" s="56">
        <f t="shared" si="0"/>
        <v>7.7894736842105265</v>
      </c>
      <c r="I14" s="56">
        <f t="shared" si="1"/>
        <v>93.473684210526315</v>
      </c>
      <c r="J14" s="88"/>
    </row>
    <row r="15" spans="2:10" ht="93.75" x14ac:dyDescent="1.4">
      <c r="B15" s="86"/>
      <c r="C15" s="53">
        <v>10</v>
      </c>
      <c r="D15" s="53" t="s">
        <v>19</v>
      </c>
      <c r="E15" s="53" t="s">
        <v>20</v>
      </c>
      <c r="F15" s="54">
        <v>83.5</v>
      </c>
      <c r="G15" s="56">
        <v>624</v>
      </c>
      <c r="H15" s="56">
        <f t="shared" si="0"/>
        <v>7.4730538922155691</v>
      </c>
      <c r="I15" s="56">
        <f t="shared" si="1"/>
        <v>89.676646706586837</v>
      </c>
      <c r="J15" s="88"/>
    </row>
    <row r="16" spans="2:10" ht="93.75" x14ac:dyDescent="1.4">
      <c r="B16" s="86"/>
      <c r="C16" s="53">
        <v>11</v>
      </c>
      <c r="D16" s="53" t="s">
        <v>54</v>
      </c>
      <c r="E16" s="53" t="s">
        <v>55</v>
      </c>
      <c r="F16" s="54">
        <v>80.5</v>
      </c>
      <c r="G16" s="56">
        <v>548</v>
      </c>
      <c r="H16" s="56">
        <f t="shared" si="0"/>
        <v>6.8074534161490687</v>
      </c>
      <c r="I16" s="56">
        <f t="shared" si="1"/>
        <v>81.689440993788821</v>
      </c>
      <c r="J16" s="88"/>
    </row>
    <row r="17" spans="2:10" ht="93.75" x14ac:dyDescent="1.4">
      <c r="B17" s="86"/>
      <c r="C17" s="39">
        <v>12</v>
      </c>
      <c r="D17" s="39" t="s">
        <v>13</v>
      </c>
      <c r="E17" s="39" t="s">
        <v>14</v>
      </c>
      <c r="F17" s="40">
        <v>72</v>
      </c>
      <c r="G17" s="41">
        <v>403</v>
      </c>
      <c r="H17" s="41">
        <f t="shared" si="0"/>
        <v>5.5972222222222223</v>
      </c>
      <c r="I17" s="41">
        <f t="shared" si="1"/>
        <v>67.166666666666671</v>
      </c>
      <c r="J17" s="88"/>
    </row>
    <row r="18" spans="2:10" ht="93.75" x14ac:dyDescent="1.4">
      <c r="B18" s="86"/>
      <c r="C18" s="39">
        <v>13</v>
      </c>
      <c r="D18" s="39" t="s">
        <v>48</v>
      </c>
      <c r="E18" s="39" t="s">
        <v>49</v>
      </c>
      <c r="F18" s="40">
        <v>60.25</v>
      </c>
      <c r="G18" s="41">
        <v>328</v>
      </c>
      <c r="H18" s="41">
        <f t="shared" si="0"/>
        <v>5.4439834024896268</v>
      </c>
      <c r="I18" s="41">
        <f t="shared" si="1"/>
        <v>65.327800829875514</v>
      </c>
      <c r="J18" s="88"/>
    </row>
    <row r="19" spans="2:10" ht="90.75" customHeight="1" x14ac:dyDescent="1.4">
      <c r="B19" s="86"/>
      <c r="C19" s="39">
        <v>14</v>
      </c>
      <c r="D19" s="39" t="s">
        <v>50</v>
      </c>
      <c r="E19" s="39" t="s">
        <v>51</v>
      </c>
      <c r="F19" s="40">
        <v>70.75</v>
      </c>
      <c r="G19" s="41">
        <v>349</v>
      </c>
      <c r="H19" s="41">
        <f t="shared" si="0"/>
        <v>4.9328621908127213</v>
      </c>
      <c r="I19" s="41">
        <f t="shared" si="1"/>
        <v>59.194346289752659</v>
      </c>
      <c r="J19" s="88"/>
    </row>
    <row r="20" spans="2:10" ht="90.75" customHeight="1" x14ac:dyDescent="1.4">
      <c r="B20" s="86"/>
      <c r="C20" s="39">
        <v>15</v>
      </c>
      <c r="D20" s="39" t="s">
        <v>47</v>
      </c>
      <c r="E20" s="39" t="s">
        <v>40</v>
      </c>
      <c r="F20" s="40">
        <v>121.5</v>
      </c>
      <c r="G20" s="41">
        <v>599</v>
      </c>
      <c r="H20" s="41">
        <f t="shared" si="0"/>
        <v>4.9300411522633745</v>
      </c>
      <c r="I20" s="41">
        <f t="shared" si="1"/>
        <v>59.160493827160494</v>
      </c>
      <c r="J20" s="88"/>
    </row>
    <row r="21" spans="2:10" ht="90.75" customHeight="1" x14ac:dyDescent="1.4">
      <c r="B21" s="86"/>
      <c r="C21" s="42">
        <v>16</v>
      </c>
      <c r="D21" s="42" t="s">
        <v>27</v>
      </c>
      <c r="E21" s="42" t="s">
        <v>28</v>
      </c>
      <c r="F21" s="43">
        <v>71</v>
      </c>
      <c r="G21" s="44">
        <v>297</v>
      </c>
      <c r="H21" s="44">
        <f t="shared" si="0"/>
        <v>4.183098591549296</v>
      </c>
      <c r="I21" s="44">
        <f t="shared" si="1"/>
        <v>50.197183098591552</v>
      </c>
      <c r="J21" s="88"/>
    </row>
    <row r="22" spans="2:10" ht="90.75" customHeight="1" x14ac:dyDescent="1.4">
      <c r="B22" s="86"/>
      <c r="C22" s="70">
        <v>17</v>
      </c>
      <c r="D22" s="70" t="s">
        <v>52</v>
      </c>
      <c r="E22" s="70" t="s">
        <v>53</v>
      </c>
      <c r="F22" s="71">
        <v>61.5</v>
      </c>
      <c r="G22" s="72">
        <v>124</v>
      </c>
      <c r="H22" s="72">
        <f t="shared" si="0"/>
        <v>2.0162601626016259</v>
      </c>
      <c r="I22" s="72">
        <f t="shared" si="1"/>
        <v>24.195121951219512</v>
      </c>
      <c r="J22" s="88"/>
    </row>
    <row r="23" spans="2:10" ht="96" customHeight="1" thickBot="1" x14ac:dyDescent="0.3">
      <c r="B23" s="87"/>
      <c r="C23" s="90"/>
      <c r="D23" s="90"/>
      <c r="E23" s="90"/>
      <c r="F23" s="90"/>
      <c r="G23" s="90"/>
      <c r="H23" s="90"/>
      <c r="I23" s="90"/>
      <c r="J23" s="89"/>
    </row>
  </sheetData>
  <autoFilter ref="D5:I5" xr:uid="{748F41B8-B2D8-467B-987D-ADAFC4F9F53C}">
    <sortState xmlns:xlrd2="http://schemas.microsoft.com/office/spreadsheetml/2017/richdata2" ref="D6:I22">
      <sortCondition descending="1" ref="I5"/>
    </sortState>
  </autoFilter>
  <mergeCells count="5">
    <mergeCell ref="B2:J2"/>
    <mergeCell ref="B3:J4"/>
    <mergeCell ref="B5:B23"/>
    <mergeCell ref="J5:J23"/>
    <mergeCell ref="C23:I23"/>
  </mergeCells>
  <printOptions horizontalCentered="1" verticalCentered="1"/>
  <pageMargins left="0" right="0" top="0" bottom="0" header="0" footer="0"/>
  <pageSetup paperSize="3" scale="34" orientation="landscape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BAF46-6D22-419A-A13C-1FB221085C68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830B2-6B91-4200-A5ED-4241E8F13837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DC1C-C70C-439F-8E53-6875F4586EA7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7AB56-F351-4707-82A2-5232D251F897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99016-856C-4AB0-8763-66E7B00266DC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56F89-2DCB-40C8-AC5C-EAB1201730F9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D9B88-C26D-4678-A07F-61CBFD2E73B9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EEA5E-BF74-4E2D-A55E-D0F5BE4F5A6C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565ED-8470-4059-9994-7C1A2D86DBC2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A9207-DDFC-418C-B4D1-9C347AD3B965}">
  <dimension ref="B1:J22"/>
  <sheetViews>
    <sheetView zoomScale="25" zoomScaleNormal="25" workbookViewId="0">
      <selection sqref="A1:XFD1048576"/>
    </sheetView>
  </sheetViews>
  <sheetFormatPr defaultColWidth="49.75" defaultRowHeight="90" customHeight="1" x14ac:dyDescent="0.25"/>
  <cols>
    <col min="1" max="1" width="50.125" customWidth="1"/>
    <col min="2" max="3" width="26.875" customWidth="1"/>
    <col min="4" max="4" width="78.625" customWidth="1"/>
    <col min="5" max="5" width="76.125" customWidth="1"/>
    <col min="6" max="6" width="72.25" customWidth="1"/>
    <col min="7" max="7" width="62.875" customWidth="1"/>
    <col min="8" max="8" width="61.125" customWidth="1"/>
    <col min="9" max="9" width="68.875" customWidth="1"/>
    <col min="10" max="10" width="26.875" customWidth="1"/>
  </cols>
  <sheetData>
    <row r="1" spans="2:10" ht="85.5" customHeight="1" thickBot="1" x14ac:dyDescent="0.3"/>
    <row r="2" spans="2:10" ht="96" customHeight="1" x14ac:dyDescent="0.25">
      <c r="B2" s="80"/>
      <c r="C2" s="81"/>
      <c r="D2" s="81"/>
      <c r="E2" s="81"/>
      <c r="F2" s="81"/>
      <c r="G2" s="81"/>
      <c r="H2" s="81"/>
      <c r="I2" s="81"/>
      <c r="J2" s="82"/>
    </row>
    <row r="3" spans="2:10" ht="105.75" customHeight="1" x14ac:dyDescent="0.25">
      <c r="B3" s="83" t="s">
        <v>0</v>
      </c>
      <c r="C3" s="84"/>
      <c r="D3" s="84"/>
      <c r="E3" s="84"/>
      <c r="F3" s="84"/>
      <c r="G3" s="84"/>
      <c r="H3" s="84"/>
      <c r="I3" s="84"/>
      <c r="J3" s="85"/>
    </row>
    <row r="4" spans="2:10" ht="105.75" customHeight="1" x14ac:dyDescent="0.25">
      <c r="B4" s="83"/>
      <c r="C4" s="84"/>
      <c r="D4" s="84"/>
      <c r="E4" s="84"/>
      <c r="F4" s="84"/>
      <c r="G4" s="84"/>
      <c r="H4" s="84"/>
      <c r="I4" s="84"/>
      <c r="J4" s="85"/>
    </row>
    <row r="5" spans="2:10" ht="63.75" x14ac:dyDescent="0.25">
      <c r="B5" s="86"/>
      <c r="C5" s="1" t="s">
        <v>1</v>
      </c>
      <c r="D5" s="2" t="s">
        <v>2</v>
      </c>
      <c r="E5" s="2" t="s">
        <v>3</v>
      </c>
      <c r="F5" s="3" t="s">
        <v>4</v>
      </c>
      <c r="G5" s="4" t="s">
        <v>5</v>
      </c>
      <c r="H5" s="3" t="s">
        <v>6</v>
      </c>
      <c r="I5" s="4" t="s">
        <v>7</v>
      </c>
      <c r="J5" s="88"/>
    </row>
    <row r="6" spans="2:10" ht="93.75" x14ac:dyDescent="1.4">
      <c r="B6" s="86"/>
      <c r="C6" s="5">
        <v>1</v>
      </c>
      <c r="D6" s="5"/>
      <c r="E6" s="5"/>
      <c r="F6" s="6"/>
      <c r="G6" s="7"/>
      <c r="H6" s="7" t="e">
        <f t="shared" ref="H6:H21" si="0">G6/F6</f>
        <v>#DIV/0!</v>
      </c>
      <c r="I6" s="7" t="e">
        <f t="shared" ref="I6:I21" si="1">H6*12</f>
        <v>#DIV/0!</v>
      </c>
      <c r="J6" s="88"/>
    </row>
    <row r="7" spans="2:10" ht="93.75" x14ac:dyDescent="1.4">
      <c r="B7" s="86"/>
      <c r="C7" s="5">
        <v>2</v>
      </c>
      <c r="D7" s="5"/>
      <c r="E7" s="5"/>
      <c r="F7" s="6"/>
      <c r="G7" s="7"/>
      <c r="H7" s="7" t="e">
        <f t="shared" si="0"/>
        <v>#DIV/0!</v>
      </c>
      <c r="I7" s="7" t="e">
        <f t="shared" si="1"/>
        <v>#DIV/0!</v>
      </c>
      <c r="J7" s="88"/>
    </row>
    <row r="8" spans="2:10" ht="93.75" x14ac:dyDescent="1.4">
      <c r="B8" s="86"/>
      <c r="C8" s="5">
        <v>3</v>
      </c>
      <c r="D8" s="5"/>
      <c r="E8" s="5"/>
      <c r="F8" s="6"/>
      <c r="G8" s="8"/>
      <c r="H8" s="7" t="e">
        <f t="shared" si="0"/>
        <v>#DIV/0!</v>
      </c>
      <c r="I8" s="7" t="e">
        <f t="shared" si="1"/>
        <v>#DIV/0!</v>
      </c>
      <c r="J8" s="88"/>
    </row>
    <row r="9" spans="2:10" ht="93.75" x14ac:dyDescent="1.4">
      <c r="B9" s="86"/>
      <c r="C9" s="5">
        <v>4</v>
      </c>
      <c r="D9" s="5"/>
      <c r="E9" s="5"/>
      <c r="F9" s="6"/>
      <c r="G9" s="7"/>
      <c r="H9" s="7" t="e">
        <f t="shared" si="0"/>
        <v>#DIV/0!</v>
      </c>
      <c r="I9" s="7" t="e">
        <f t="shared" si="1"/>
        <v>#DIV/0!</v>
      </c>
      <c r="J9" s="88"/>
    </row>
    <row r="10" spans="2:10" ht="93.75" x14ac:dyDescent="1.4">
      <c r="B10" s="86"/>
      <c r="C10" s="5">
        <v>5</v>
      </c>
      <c r="D10" s="5"/>
      <c r="E10" s="5"/>
      <c r="F10" s="6"/>
      <c r="G10" s="7"/>
      <c r="H10" s="7" t="e">
        <f t="shared" si="0"/>
        <v>#DIV/0!</v>
      </c>
      <c r="I10" s="7" t="e">
        <f t="shared" si="1"/>
        <v>#DIV/0!</v>
      </c>
      <c r="J10" s="88"/>
    </row>
    <row r="11" spans="2:10" ht="93.75" x14ac:dyDescent="1.4">
      <c r="B11" s="86"/>
      <c r="C11" s="5">
        <v>6</v>
      </c>
      <c r="D11" s="5"/>
      <c r="E11" s="5"/>
      <c r="F11" s="6"/>
      <c r="G11" s="7"/>
      <c r="H11" s="7" t="e">
        <f t="shared" si="0"/>
        <v>#DIV/0!</v>
      </c>
      <c r="I11" s="7" t="e">
        <f t="shared" si="1"/>
        <v>#DIV/0!</v>
      </c>
      <c r="J11" s="88"/>
    </row>
    <row r="12" spans="2:10" ht="93.75" x14ac:dyDescent="1.4">
      <c r="B12" s="86"/>
      <c r="C12" s="5">
        <v>7</v>
      </c>
      <c r="D12" s="5"/>
      <c r="E12" s="5"/>
      <c r="F12" s="6"/>
      <c r="G12" s="7"/>
      <c r="H12" s="7" t="e">
        <f t="shared" si="0"/>
        <v>#DIV/0!</v>
      </c>
      <c r="I12" s="7" t="e">
        <f t="shared" si="1"/>
        <v>#DIV/0!</v>
      </c>
      <c r="J12" s="88"/>
    </row>
    <row r="13" spans="2:10" ht="93.75" x14ac:dyDescent="1.4">
      <c r="B13" s="86"/>
      <c r="C13" s="5">
        <v>8</v>
      </c>
      <c r="D13" s="5"/>
      <c r="E13" s="5"/>
      <c r="F13" s="6"/>
      <c r="G13" s="7"/>
      <c r="H13" s="7" t="e">
        <f t="shared" si="0"/>
        <v>#DIV/0!</v>
      </c>
      <c r="I13" s="7" t="e">
        <f t="shared" si="1"/>
        <v>#DIV/0!</v>
      </c>
      <c r="J13" s="88"/>
    </row>
    <row r="14" spans="2:10" ht="93.75" x14ac:dyDescent="1.4">
      <c r="B14" s="86"/>
      <c r="C14" s="5">
        <v>9</v>
      </c>
      <c r="D14" s="5"/>
      <c r="E14" s="5"/>
      <c r="F14" s="6"/>
      <c r="G14" s="7"/>
      <c r="H14" s="7" t="e">
        <f t="shared" si="0"/>
        <v>#DIV/0!</v>
      </c>
      <c r="I14" s="7" t="e">
        <f t="shared" si="1"/>
        <v>#DIV/0!</v>
      </c>
      <c r="J14" s="88"/>
    </row>
    <row r="15" spans="2:10" ht="93.75" x14ac:dyDescent="1.4">
      <c r="B15" s="86"/>
      <c r="C15" s="5">
        <v>10</v>
      </c>
      <c r="D15" s="5"/>
      <c r="E15" s="5"/>
      <c r="F15" s="6"/>
      <c r="G15" s="7"/>
      <c r="H15" s="7" t="e">
        <f t="shared" si="0"/>
        <v>#DIV/0!</v>
      </c>
      <c r="I15" s="7" t="e">
        <f t="shared" si="1"/>
        <v>#DIV/0!</v>
      </c>
      <c r="J15" s="88"/>
    </row>
    <row r="16" spans="2:10" ht="93.75" x14ac:dyDescent="1.4">
      <c r="B16" s="86"/>
      <c r="C16" s="5">
        <v>11</v>
      </c>
      <c r="D16" s="5"/>
      <c r="E16" s="5"/>
      <c r="F16" s="6"/>
      <c r="G16" s="7"/>
      <c r="H16" s="7" t="e">
        <f t="shared" si="0"/>
        <v>#DIV/0!</v>
      </c>
      <c r="I16" s="7" t="e">
        <f t="shared" si="1"/>
        <v>#DIV/0!</v>
      </c>
      <c r="J16" s="88"/>
    </row>
    <row r="17" spans="2:10" ht="93.75" x14ac:dyDescent="1.4">
      <c r="B17" s="86"/>
      <c r="C17" s="5">
        <v>12</v>
      </c>
      <c r="D17" s="5"/>
      <c r="E17" s="5"/>
      <c r="F17" s="6"/>
      <c r="G17" s="7"/>
      <c r="H17" s="7" t="e">
        <f t="shared" si="0"/>
        <v>#DIV/0!</v>
      </c>
      <c r="I17" s="7" t="e">
        <f t="shared" si="1"/>
        <v>#DIV/0!</v>
      </c>
      <c r="J17" s="88"/>
    </row>
    <row r="18" spans="2:10" ht="93.75" x14ac:dyDescent="1.4">
      <c r="B18" s="86"/>
      <c r="C18" s="5">
        <v>13</v>
      </c>
      <c r="D18" s="5"/>
      <c r="E18" s="5"/>
      <c r="F18" s="6"/>
      <c r="G18" s="7"/>
      <c r="H18" s="7" t="e">
        <f t="shared" si="0"/>
        <v>#DIV/0!</v>
      </c>
      <c r="I18" s="7" t="e">
        <f t="shared" si="1"/>
        <v>#DIV/0!</v>
      </c>
      <c r="J18" s="88"/>
    </row>
    <row r="19" spans="2:10" ht="93.75" x14ac:dyDescent="1.4">
      <c r="B19" s="86"/>
      <c r="C19" s="5">
        <v>14</v>
      </c>
      <c r="D19" s="5"/>
      <c r="E19" s="5"/>
      <c r="F19" s="6"/>
      <c r="G19" s="7"/>
      <c r="H19" s="7" t="e">
        <f t="shared" si="0"/>
        <v>#DIV/0!</v>
      </c>
      <c r="I19" s="7" t="e">
        <f t="shared" si="1"/>
        <v>#DIV/0!</v>
      </c>
      <c r="J19" s="88"/>
    </row>
    <row r="20" spans="2:10" ht="90.75" customHeight="1" x14ac:dyDescent="1.4">
      <c r="B20" s="86"/>
      <c r="C20" s="5">
        <v>15</v>
      </c>
      <c r="D20" s="5"/>
      <c r="E20" s="5"/>
      <c r="F20" s="6"/>
      <c r="G20" s="7"/>
      <c r="H20" s="7" t="e">
        <f t="shared" si="0"/>
        <v>#DIV/0!</v>
      </c>
      <c r="I20" s="7" t="e">
        <f t="shared" si="1"/>
        <v>#DIV/0!</v>
      </c>
      <c r="J20" s="88"/>
    </row>
    <row r="21" spans="2:10" ht="93.75" x14ac:dyDescent="1.4">
      <c r="B21" s="86"/>
      <c r="C21" s="5">
        <v>16</v>
      </c>
      <c r="D21" s="5"/>
      <c r="E21" s="5"/>
      <c r="F21" s="6"/>
      <c r="G21" s="7"/>
      <c r="H21" s="7" t="e">
        <f t="shared" si="0"/>
        <v>#DIV/0!</v>
      </c>
      <c r="I21" s="7" t="e">
        <f t="shared" si="1"/>
        <v>#DIV/0!</v>
      </c>
      <c r="J21" s="88"/>
    </row>
    <row r="22" spans="2:10" ht="96" customHeight="1" thickBot="1" x14ac:dyDescent="0.3">
      <c r="B22" s="87"/>
      <c r="C22" s="90"/>
      <c r="D22" s="90"/>
      <c r="E22" s="90"/>
      <c r="F22" s="90"/>
      <c r="G22" s="90"/>
      <c r="H22" s="90"/>
      <c r="I22" s="90"/>
      <c r="J22" s="89"/>
    </row>
  </sheetData>
  <mergeCells count="5">
    <mergeCell ref="B2:J2"/>
    <mergeCell ref="B3:J4"/>
    <mergeCell ref="B5:B22"/>
    <mergeCell ref="J5:J22"/>
    <mergeCell ref="C22:I2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Template</vt:lpstr>
      <vt:lpstr>Formulas</vt:lpstr>
      <vt:lpstr>Jan-26</vt:lpstr>
      <vt:lpstr>Feb-26</vt:lpstr>
      <vt:lpstr>March-26</vt:lpstr>
      <vt:lpstr>April-26</vt:lpstr>
      <vt:lpstr>May-26</vt:lpstr>
      <vt:lpstr>June-26</vt:lpstr>
      <vt:lpstr>July-26</vt:lpstr>
      <vt:lpstr>Aug-26</vt:lpstr>
      <vt:lpstr>Sept-26</vt:lpstr>
      <vt:lpstr>Oct-26</vt:lpstr>
      <vt:lpstr>Nov-26</vt:lpstr>
      <vt:lpstr>Dec-26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Hays</dc:creator>
  <cp:lastModifiedBy>Ann Hays</cp:lastModifiedBy>
  <cp:lastPrinted>2026-02-16T17:04:05Z</cp:lastPrinted>
  <dcterms:created xsi:type="dcterms:W3CDTF">2025-12-09T19:04:34Z</dcterms:created>
  <dcterms:modified xsi:type="dcterms:W3CDTF">2026-02-20T13:33:44Z</dcterms:modified>
</cp:coreProperties>
</file>