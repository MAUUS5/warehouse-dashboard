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mmercialStaffing\Michelin US5\Production Trackers\2026\"/>
    </mc:Choice>
  </mc:AlternateContent>
  <xr:revisionPtr revIDLastSave="0" documentId="13_ncr:1_{000A0924-A17D-4765-BF2C-932AC96D419B}" xr6:coauthVersionLast="47" xr6:coauthVersionMax="47" xr10:uidLastSave="{00000000-0000-0000-0000-000000000000}"/>
  <bookViews>
    <workbookView xWindow="-120" yWindow="-120" windowWidth="29040" windowHeight="15720" activeTab="2" xr2:uid="{FEBD7D8E-DFDE-4C9F-B08A-6360E7473404}"/>
  </bookViews>
  <sheets>
    <sheet name="Template" sheetId="1" r:id="rId1"/>
    <sheet name="Jan" sheetId="2" r:id="rId2"/>
    <sheet name="Feb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" sheetId="9" r:id="rId9"/>
    <sheet name="Sept" sheetId="10" r:id="rId10"/>
    <sheet name="Oct" sheetId="11" r:id="rId11"/>
    <sheet name="Nov" sheetId="12" r:id="rId12"/>
    <sheet name="Dec" sheetId="13" r:id="rId13"/>
    <sheet name="Dashboard" sheetId="14" r:id="rId14"/>
  </sheets>
  <definedNames>
    <definedName name="_xlnm._FilterDatabase" localSheetId="1" hidden="1">Jan!$C$5:$AD$38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4" l="1"/>
  <c r="H6" i="14" l="1"/>
  <c r="H7" i="14"/>
  <c r="H8" i="14"/>
  <c r="H9" i="14"/>
  <c r="H10" i="14"/>
  <c r="H11" i="14"/>
  <c r="H12" i="14"/>
  <c r="H13" i="14"/>
  <c r="H14" i="14"/>
  <c r="H15" i="14"/>
  <c r="X6" i="2" l="1"/>
  <c r="X7" i="2"/>
  <c r="X8" i="2"/>
  <c r="X9" i="2"/>
  <c r="X10" i="2"/>
  <c r="J38" i="14" l="1"/>
  <c r="I38" i="14"/>
  <c r="D38" i="14"/>
  <c r="L18" i="14"/>
  <c r="K18" i="14"/>
  <c r="L16" i="14"/>
  <c r="K16" i="14"/>
  <c r="AC35" i="2"/>
  <c r="AD35" i="2" s="1"/>
  <c r="H35" i="2"/>
  <c r="M35" i="2" s="1"/>
  <c r="X35" i="2"/>
  <c r="AC36" i="13"/>
  <c r="AB36" i="13"/>
  <c r="AA36" i="13"/>
  <c r="Z36" i="13"/>
  <c r="W36" i="13"/>
  <c r="V36" i="13"/>
  <c r="U36" i="13"/>
  <c r="T36" i="13"/>
  <c r="S36" i="13"/>
  <c r="Q36" i="13"/>
  <c r="P36" i="13"/>
  <c r="N36" i="13"/>
  <c r="L36" i="13"/>
  <c r="K36" i="13"/>
  <c r="I36" i="13"/>
  <c r="F36" i="13"/>
  <c r="D36" i="13"/>
  <c r="AD35" i="13"/>
  <c r="AE35" i="13" s="1"/>
  <c r="Y35" i="13"/>
  <c r="X35" i="13"/>
  <c r="H35" i="13"/>
  <c r="J35" i="13" s="1"/>
  <c r="AE34" i="13"/>
  <c r="AD34" i="13"/>
  <c r="Y34" i="13"/>
  <c r="X34" i="13"/>
  <c r="M34" i="13"/>
  <c r="J34" i="13"/>
  <c r="H34" i="13"/>
  <c r="AD33" i="13"/>
  <c r="AE33" i="13" s="1"/>
  <c r="Y33" i="13"/>
  <c r="X33" i="13"/>
  <c r="H33" i="13"/>
  <c r="J33" i="13" s="1"/>
  <c r="AD32" i="13"/>
  <c r="AE32" i="13" s="1"/>
  <c r="Y32" i="13"/>
  <c r="X32" i="13"/>
  <c r="H32" i="13"/>
  <c r="M32" i="13" s="1"/>
  <c r="AD31" i="13"/>
  <c r="AE31" i="13" s="1"/>
  <c r="Y31" i="13"/>
  <c r="X31" i="13"/>
  <c r="H31" i="13"/>
  <c r="M31" i="13" s="1"/>
  <c r="AD30" i="13"/>
  <c r="AE30" i="13" s="1"/>
  <c r="Y30" i="13"/>
  <c r="X30" i="13"/>
  <c r="H30" i="13"/>
  <c r="J30" i="13" s="1"/>
  <c r="AD29" i="13"/>
  <c r="AE29" i="13" s="1"/>
  <c r="Y29" i="13"/>
  <c r="X29" i="13"/>
  <c r="M29" i="13"/>
  <c r="J29" i="13"/>
  <c r="H29" i="13"/>
  <c r="AD28" i="13"/>
  <c r="AE28" i="13" s="1"/>
  <c r="Y28" i="13"/>
  <c r="X28" i="13"/>
  <c r="H28" i="13"/>
  <c r="M28" i="13" s="1"/>
  <c r="AD27" i="13"/>
  <c r="AE27" i="13" s="1"/>
  <c r="Y27" i="13"/>
  <c r="X27" i="13"/>
  <c r="M27" i="13"/>
  <c r="H27" i="13"/>
  <c r="J27" i="13" s="1"/>
  <c r="AE26" i="13"/>
  <c r="AD26" i="13"/>
  <c r="Y26" i="13"/>
  <c r="X26" i="13"/>
  <c r="M26" i="13"/>
  <c r="J26" i="13"/>
  <c r="H26" i="13"/>
  <c r="AD25" i="13"/>
  <c r="AE25" i="13" s="1"/>
  <c r="Y25" i="13"/>
  <c r="X25" i="13"/>
  <c r="H25" i="13"/>
  <c r="M25" i="13" s="1"/>
  <c r="AD24" i="13"/>
  <c r="AE24" i="13" s="1"/>
  <c r="Y24" i="13"/>
  <c r="X24" i="13"/>
  <c r="H24" i="13"/>
  <c r="M24" i="13" s="1"/>
  <c r="AD23" i="13"/>
  <c r="AE23" i="13" s="1"/>
  <c r="Y23" i="13"/>
  <c r="X23" i="13"/>
  <c r="H23" i="13"/>
  <c r="M23" i="13" s="1"/>
  <c r="AD22" i="13"/>
  <c r="AE22" i="13" s="1"/>
  <c r="Y22" i="13"/>
  <c r="X22" i="13"/>
  <c r="H22" i="13"/>
  <c r="J22" i="13" s="1"/>
  <c r="AD21" i="13"/>
  <c r="AE21" i="13" s="1"/>
  <c r="Y21" i="13"/>
  <c r="X21" i="13"/>
  <c r="M21" i="13"/>
  <c r="J21" i="13"/>
  <c r="H21" i="13"/>
  <c r="AD20" i="13"/>
  <c r="AE20" i="13" s="1"/>
  <c r="Y20" i="13"/>
  <c r="X20" i="13"/>
  <c r="H20" i="13"/>
  <c r="M20" i="13" s="1"/>
  <c r="AD19" i="13"/>
  <c r="AE19" i="13" s="1"/>
  <c r="Y19" i="13"/>
  <c r="X19" i="13"/>
  <c r="M19" i="13"/>
  <c r="H19" i="13"/>
  <c r="J19" i="13" s="1"/>
  <c r="AE18" i="13"/>
  <c r="AD18" i="13"/>
  <c r="Y18" i="13"/>
  <c r="X18" i="13"/>
  <c r="M18" i="13"/>
  <c r="J18" i="13"/>
  <c r="H18" i="13"/>
  <c r="AD17" i="13"/>
  <c r="AE17" i="13" s="1"/>
  <c r="Y17" i="13"/>
  <c r="X17" i="13"/>
  <c r="H17" i="13"/>
  <c r="J17" i="13" s="1"/>
  <c r="AD16" i="13"/>
  <c r="AE16" i="13" s="1"/>
  <c r="Y16" i="13"/>
  <c r="X16" i="13"/>
  <c r="H16" i="13"/>
  <c r="M16" i="13" s="1"/>
  <c r="AD15" i="13"/>
  <c r="AE15" i="13" s="1"/>
  <c r="Y15" i="13"/>
  <c r="X15" i="13"/>
  <c r="H15" i="13"/>
  <c r="M15" i="13" s="1"/>
  <c r="AD14" i="13"/>
  <c r="AE14" i="13" s="1"/>
  <c r="Y14" i="13"/>
  <c r="X14" i="13"/>
  <c r="H14" i="13"/>
  <c r="J14" i="13" s="1"/>
  <c r="AD13" i="13"/>
  <c r="AE13" i="13" s="1"/>
  <c r="Y13" i="13"/>
  <c r="X13" i="13"/>
  <c r="M13" i="13"/>
  <c r="J13" i="13"/>
  <c r="H13" i="13"/>
  <c r="AD12" i="13"/>
  <c r="AE12" i="13" s="1"/>
  <c r="Y12" i="13"/>
  <c r="X12" i="13"/>
  <c r="H12" i="13"/>
  <c r="M12" i="13" s="1"/>
  <c r="AD11" i="13"/>
  <c r="AE11" i="13" s="1"/>
  <c r="Y11" i="13"/>
  <c r="X11" i="13"/>
  <c r="M11" i="13"/>
  <c r="H11" i="13"/>
  <c r="J11" i="13" s="1"/>
  <c r="AE10" i="13"/>
  <c r="AD10" i="13"/>
  <c r="Y10" i="13"/>
  <c r="X10" i="13"/>
  <c r="M10" i="13"/>
  <c r="J10" i="13"/>
  <c r="H10" i="13"/>
  <c r="AD9" i="13"/>
  <c r="AE9" i="13" s="1"/>
  <c r="Y9" i="13"/>
  <c r="X9" i="13"/>
  <c r="H9" i="13"/>
  <c r="M9" i="13" s="1"/>
  <c r="AD8" i="13"/>
  <c r="AE8" i="13" s="1"/>
  <c r="Y8" i="13"/>
  <c r="X8" i="13"/>
  <c r="H8" i="13"/>
  <c r="M8" i="13" s="1"/>
  <c r="AD7" i="13"/>
  <c r="AE7" i="13" s="1"/>
  <c r="Y7" i="13"/>
  <c r="X7" i="13"/>
  <c r="H7" i="13"/>
  <c r="M7" i="13" s="1"/>
  <c r="AD6" i="13"/>
  <c r="AE6" i="13" s="1"/>
  <c r="Y6" i="13"/>
  <c r="Y36" i="13" s="1"/>
  <c r="X6" i="13"/>
  <c r="H6" i="13"/>
  <c r="J6" i="13" s="1"/>
  <c r="AC36" i="12"/>
  <c r="AB36" i="12"/>
  <c r="AA36" i="12"/>
  <c r="Z36" i="12"/>
  <c r="W36" i="12"/>
  <c r="V36" i="12"/>
  <c r="U36" i="12"/>
  <c r="T36" i="12"/>
  <c r="S36" i="12"/>
  <c r="Q36" i="12"/>
  <c r="P36" i="12"/>
  <c r="N36" i="12"/>
  <c r="L36" i="12"/>
  <c r="K36" i="12"/>
  <c r="I36" i="12"/>
  <c r="F36" i="12"/>
  <c r="D36" i="12"/>
  <c r="AD35" i="12"/>
  <c r="AE35" i="12" s="1"/>
  <c r="Y35" i="12"/>
  <c r="X35" i="12"/>
  <c r="H35" i="12"/>
  <c r="J35" i="12" s="1"/>
  <c r="AD34" i="12"/>
  <c r="AE34" i="12" s="1"/>
  <c r="Y34" i="12"/>
  <c r="X34" i="12"/>
  <c r="H34" i="12"/>
  <c r="M34" i="12" s="1"/>
  <c r="AE33" i="12"/>
  <c r="AD33" i="12"/>
  <c r="Y33" i="12"/>
  <c r="X33" i="12"/>
  <c r="H33" i="12"/>
  <c r="J33" i="12" s="1"/>
  <c r="AD32" i="12"/>
  <c r="AE32" i="12" s="1"/>
  <c r="Y32" i="12"/>
  <c r="X32" i="12"/>
  <c r="M32" i="12"/>
  <c r="H32" i="12"/>
  <c r="J32" i="12" s="1"/>
  <c r="AD31" i="12"/>
  <c r="AE31" i="12" s="1"/>
  <c r="Y31" i="12"/>
  <c r="X31" i="12"/>
  <c r="H31" i="12"/>
  <c r="M31" i="12" s="1"/>
  <c r="AD30" i="12"/>
  <c r="AE30" i="12" s="1"/>
  <c r="Y30" i="12"/>
  <c r="X30" i="12"/>
  <c r="H30" i="12"/>
  <c r="M30" i="12" s="1"/>
  <c r="AD29" i="12"/>
  <c r="AE29" i="12" s="1"/>
  <c r="Y29" i="12"/>
  <c r="X29" i="12"/>
  <c r="M29" i="12"/>
  <c r="H29" i="12"/>
  <c r="J29" i="12" s="1"/>
  <c r="AD28" i="12"/>
  <c r="AE28" i="12" s="1"/>
  <c r="Y28" i="12"/>
  <c r="X28" i="12"/>
  <c r="M28" i="12"/>
  <c r="J28" i="12"/>
  <c r="H28" i="12"/>
  <c r="AD27" i="12"/>
  <c r="AE27" i="12" s="1"/>
  <c r="Y27" i="12"/>
  <c r="X27" i="12"/>
  <c r="H27" i="12"/>
  <c r="J27" i="12" s="1"/>
  <c r="AD26" i="12"/>
  <c r="AE26" i="12" s="1"/>
  <c r="Y26" i="12"/>
  <c r="X26" i="12"/>
  <c r="H26" i="12"/>
  <c r="M26" i="12" s="1"/>
  <c r="AE25" i="12"/>
  <c r="AD25" i="12"/>
  <c r="Y25" i="12"/>
  <c r="X25" i="12"/>
  <c r="H25" i="12"/>
  <c r="J25" i="12" s="1"/>
  <c r="AD24" i="12"/>
  <c r="AE24" i="12" s="1"/>
  <c r="Y24" i="12"/>
  <c r="X24" i="12"/>
  <c r="J24" i="12"/>
  <c r="H24" i="12"/>
  <c r="M24" i="12" s="1"/>
  <c r="AD23" i="12"/>
  <c r="AE23" i="12" s="1"/>
  <c r="Y23" i="12"/>
  <c r="X23" i="12"/>
  <c r="H23" i="12"/>
  <c r="M23" i="12" s="1"/>
  <c r="AD22" i="12"/>
  <c r="AE22" i="12" s="1"/>
  <c r="Y22" i="12"/>
  <c r="X22" i="12"/>
  <c r="H22" i="12"/>
  <c r="M22" i="12" s="1"/>
  <c r="AD21" i="12"/>
  <c r="AE21" i="12" s="1"/>
  <c r="Y21" i="12"/>
  <c r="X21" i="12"/>
  <c r="H21" i="12"/>
  <c r="J21" i="12" s="1"/>
  <c r="AD20" i="12"/>
  <c r="AE20" i="12" s="1"/>
  <c r="Y20" i="12"/>
  <c r="X20" i="12"/>
  <c r="M20" i="12"/>
  <c r="J20" i="12"/>
  <c r="H20" i="12"/>
  <c r="AD19" i="12"/>
  <c r="AE19" i="12" s="1"/>
  <c r="Y19" i="12"/>
  <c r="X19" i="12"/>
  <c r="H19" i="12"/>
  <c r="J19" i="12" s="1"/>
  <c r="AD18" i="12"/>
  <c r="AE18" i="12" s="1"/>
  <c r="Y18" i="12"/>
  <c r="X18" i="12"/>
  <c r="H18" i="12"/>
  <c r="M18" i="12" s="1"/>
  <c r="AE17" i="12"/>
  <c r="AD17" i="12"/>
  <c r="Y17" i="12"/>
  <c r="X17" i="12"/>
  <c r="H17" i="12"/>
  <c r="J17" i="12" s="1"/>
  <c r="AD16" i="12"/>
  <c r="AE16" i="12" s="1"/>
  <c r="Y16" i="12"/>
  <c r="X16" i="12"/>
  <c r="J16" i="12"/>
  <c r="H16" i="12"/>
  <c r="M16" i="12" s="1"/>
  <c r="AD15" i="12"/>
  <c r="AE15" i="12" s="1"/>
  <c r="Y15" i="12"/>
  <c r="X15" i="12"/>
  <c r="H15" i="12"/>
  <c r="M15" i="12" s="1"/>
  <c r="AD14" i="12"/>
  <c r="AE14" i="12" s="1"/>
  <c r="Y14" i="12"/>
  <c r="X14" i="12"/>
  <c r="H14" i="12"/>
  <c r="M14" i="12" s="1"/>
  <c r="AD13" i="12"/>
  <c r="AE13" i="12" s="1"/>
  <c r="Y13" i="12"/>
  <c r="X13" i="12"/>
  <c r="H13" i="12"/>
  <c r="J13" i="12" s="1"/>
  <c r="AD12" i="12"/>
  <c r="AE12" i="12" s="1"/>
  <c r="Y12" i="12"/>
  <c r="X12" i="12"/>
  <c r="M12" i="12"/>
  <c r="J12" i="12"/>
  <c r="H12" i="12"/>
  <c r="AD11" i="12"/>
  <c r="AE11" i="12" s="1"/>
  <c r="Y11" i="12"/>
  <c r="X11" i="12"/>
  <c r="H11" i="12"/>
  <c r="M11" i="12" s="1"/>
  <c r="AD10" i="12"/>
  <c r="AE10" i="12" s="1"/>
  <c r="Y10" i="12"/>
  <c r="X10" i="12"/>
  <c r="H10" i="12"/>
  <c r="M10" i="12" s="1"/>
  <c r="AE9" i="12"/>
  <c r="AD9" i="12"/>
  <c r="Y9" i="12"/>
  <c r="X9" i="12"/>
  <c r="H9" i="12"/>
  <c r="J9" i="12" s="1"/>
  <c r="AD8" i="12"/>
  <c r="AE8" i="12" s="1"/>
  <c r="Y8" i="12"/>
  <c r="X8" i="12"/>
  <c r="H8" i="12"/>
  <c r="M8" i="12" s="1"/>
  <c r="AD7" i="12"/>
  <c r="AE7" i="12" s="1"/>
  <c r="Y7" i="12"/>
  <c r="X7" i="12"/>
  <c r="H7" i="12"/>
  <c r="M7" i="12" s="1"/>
  <c r="AD6" i="12"/>
  <c r="AE6" i="12" s="1"/>
  <c r="Y6" i="12"/>
  <c r="X6" i="12"/>
  <c r="H6" i="12"/>
  <c r="AC36" i="11"/>
  <c r="AB36" i="11"/>
  <c r="AA36" i="11"/>
  <c r="Z36" i="11"/>
  <c r="W36" i="11"/>
  <c r="V36" i="11"/>
  <c r="U36" i="11"/>
  <c r="T36" i="11"/>
  <c r="S36" i="11"/>
  <c r="Q36" i="11"/>
  <c r="P36" i="11"/>
  <c r="N36" i="11"/>
  <c r="L36" i="11"/>
  <c r="K36" i="11"/>
  <c r="I36" i="11"/>
  <c r="F36" i="11"/>
  <c r="D36" i="11"/>
  <c r="AD35" i="11"/>
  <c r="AE35" i="11" s="1"/>
  <c r="Y35" i="11"/>
  <c r="X35" i="11"/>
  <c r="H35" i="11"/>
  <c r="M35" i="11" s="1"/>
  <c r="AD34" i="11"/>
  <c r="AE34" i="11" s="1"/>
  <c r="Y34" i="11"/>
  <c r="X34" i="11"/>
  <c r="H34" i="11"/>
  <c r="M34" i="11" s="1"/>
  <c r="AD33" i="11"/>
  <c r="AE33" i="11" s="1"/>
  <c r="Y33" i="11"/>
  <c r="X33" i="11"/>
  <c r="H33" i="11"/>
  <c r="J33" i="11" s="1"/>
  <c r="AD32" i="11"/>
  <c r="AE32" i="11" s="1"/>
  <c r="Y32" i="11"/>
  <c r="X32" i="11"/>
  <c r="H32" i="11"/>
  <c r="M32" i="11" s="1"/>
  <c r="AD31" i="11"/>
  <c r="AE31" i="11" s="1"/>
  <c r="Y31" i="11"/>
  <c r="X31" i="11"/>
  <c r="H31" i="11"/>
  <c r="J31" i="11" s="1"/>
  <c r="AD30" i="11"/>
  <c r="AE30" i="11" s="1"/>
  <c r="Y30" i="11"/>
  <c r="X30" i="11"/>
  <c r="J30" i="11"/>
  <c r="H30" i="11"/>
  <c r="M30" i="11" s="1"/>
  <c r="AD29" i="11"/>
  <c r="AE29" i="11" s="1"/>
  <c r="Y29" i="11"/>
  <c r="X29" i="11"/>
  <c r="H29" i="11"/>
  <c r="J29" i="11" s="1"/>
  <c r="AD28" i="11"/>
  <c r="AE28" i="11" s="1"/>
  <c r="Y28" i="11"/>
  <c r="X28" i="11"/>
  <c r="H28" i="11"/>
  <c r="M28" i="11" s="1"/>
  <c r="AE27" i="11"/>
  <c r="AD27" i="11"/>
  <c r="Y27" i="11"/>
  <c r="X27" i="11"/>
  <c r="H27" i="11"/>
  <c r="M27" i="11" s="1"/>
  <c r="AD26" i="11"/>
  <c r="AE26" i="11" s="1"/>
  <c r="Y26" i="11"/>
  <c r="X26" i="11"/>
  <c r="H26" i="11"/>
  <c r="M26" i="11" s="1"/>
  <c r="AD25" i="11"/>
  <c r="AE25" i="11" s="1"/>
  <c r="Y25" i="11"/>
  <c r="X25" i="11"/>
  <c r="M25" i="11"/>
  <c r="H25" i="11"/>
  <c r="J25" i="11" s="1"/>
  <c r="AD24" i="11"/>
  <c r="AE24" i="11" s="1"/>
  <c r="Y24" i="11"/>
  <c r="X24" i="11"/>
  <c r="J24" i="11"/>
  <c r="H24" i="11"/>
  <c r="M24" i="11" s="1"/>
  <c r="AD23" i="11"/>
  <c r="AE23" i="11" s="1"/>
  <c r="Y23" i="11"/>
  <c r="X23" i="11"/>
  <c r="M23" i="11"/>
  <c r="H23" i="11"/>
  <c r="J23" i="11" s="1"/>
  <c r="AD22" i="11"/>
  <c r="AE22" i="11" s="1"/>
  <c r="Y22" i="11"/>
  <c r="X22" i="11"/>
  <c r="H22" i="11"/>
  <c r="M22" i="11" s="1"/>
  <c r="AE21" i="11"/>
  <c r="AD21" i="11"/>
  <c r="Y21" i="11"/>
  <c r="X21" i="11"/>
  <c r="H21" i="11"/>
  <c r="J21" i="11" s="1"/>
  <c r="AD20" i="11"/>
  <c r="AE20" i="11" s="1"/>
  <c r="Y20" i="11"/>
  <c r="X20" i="11"/>
  <c r="H20" i="11"/>
  <c r="M20" i="11" s="1"/>
  <c r="AD19" i="11"/>
  <c r="AE19" i="11" s="1"/>
  <c r="Y19" i="11"/>
  <c r="X19" i="11"/>
  <c r="J19" i="11"/>
  <c r="H19" i="11"/>
  <c r="M19" i="11" s="1"/>
  <c r="AD18" i="11"/>
  <c r="AE18" i="11" s="1"/>
  <c r="Y18" i="11"/>
  <c r="X18" i="11"/>
  <c r="H18" i="11"/>
  <c r="M18" i="11" s="1"/>
  <c r="AD17" i="11"/>
  <c r="AE17" i="11" s="1"/>
  <c r="Y17" i="11"/>
  <c r="X17" i="11"/>
  <c r="H17" i="11"/>
  <c r="J17" i="11" s="1"/>
  <c r="AE16" i="11"/>
  <c r="AD16" i="11"/>
  <c r="Y16" i="11"/>
  <c r="X16" i="11"/>
  <c r="M16" i="11"/>
  <c r="J16" i="11"/>
  <c r="H16" i="11"/>
  <c r="AD15" i="11"/>
  <c r="AE15" i="11" s="1"/>
  <c r="Y15" i="11"/>
  <c r="X15" i="11"/>
  <c r="H15" i="11"/>
  <c r="J15" i="11" s="1"/>
  <c r="AD14" i="11"/>
  <c r="AE14" i="11" s="1"/>
  <c r="Y14" i="11"/>
  <c r="X14" i="11"/>
  <c r="M14" i="11"/>
  <c r="J14" i="11"/>
  <c r="H14" i="11"/>
  <c r="AD13" i="11"/>
  <c r="AE13" i="11" s="1"/>
  <c r="Y13" i="11"/>
  <c r="X13" i="11"/>
  <c r="H13" i="11"/>
  <c r="M13" i="11" s="1"/>
  <c r="AD12" i="11"/>
  <c r="AE12" i="11" s="1"/>
  <c r="Y12" i="11"/>
  <c r="X12" i="11"/>
  <c r="H12" i="11"/>
  <c r="M12" i="11" s="1"/>
  <c r="AD11" i="11"/>
  <c r="AE11" i="11" s="1"/>
  <c r="Y11" i="11"/>
  <c r="X11" i="11"/>
  <c r="H11" i="11"/>
  <c r="M11" i="11" s="1"/>
  <c r="AD10" i="11"/>
  <c r="AE10" i="11" s="1"/>
  <c r="Y10" i="11"/>
  <c r="X10" i="11"/>
  <c r="H10" i="11"/>
  <c r="M10" i="11" s="1"/>
  <c r="AD9" i="11"/>
  <c r="AE9" i="11" s="1"/>
  <c r="Y9" i="11"/>
  <c r="X9" i="11"/>
  <c r="M9" i="11"/>
  <c r="H9" i="11"/>
  <c r="J9" i="11" s="1"/>
  <c r="AE8" i="11"/>
  <c r="AD8" i="11"/>
  <c r="Y8" i="11"/>
  <c r="X8" i="11"/>
  <c r="H8" i="11"/>
  <c r="M8" i="11" s="1"/>
  <c r="AD7" i="11"/>
  <c r="AE7" i="11" s="1"/>
  <c r="Y7" i="11"/>
  <c r="X7" i="11"/>
  <c r="H7" i="11"/>
  <c r="J7" i="11" s="1"/>
  <c r="AD6" i="11"/>
  <c r="Y6" i="11"/>
  <c r="X6" i="11"/>
  <c r="M6" i="11"/>
  <c r="H6" i="11"/>
  <c r="J6" i="11" s="1"/>
  <c r="AC36" i="10"/>
  <c r="AB36" i="10"/>
  <c r="AA36" i="10"/>
  <c r="Z36" i="10"/>
  <c r="W36" i="10"/>
  <c r="V36" i="10"/>
  <c r="U36" i="10"/>
  <c r="T36" i="10"/>
  <c r="S36" i="10"/>
  <c r="Q36" i="10"/>
  <c r="P36" i="10"/>
  <c r="N36" i="10"/>
  <c r="L36" i="10"/>
  <c r="K36" i="10"/>
  <c r="I36" i="10"/>
  <c r="F36" i="10"/>
  <c r="D36" i="10"/>
  <c r="AD35" i="10"/>
  <c r="AE35" i="10" s="1"/>
  <c r="Y35" i="10"/>
  <c r="X35" i="10"/>
  <c r="H35" i="10"/>
  <c r="M35" i="10" s="1"/>
  <c r="AE34" i="10"/>
  <c r="AD34" i="10"/>
  <c r="Y34" i="10"/>
  <c r="X34" i="10"/>
  <c r="H34" i="10"/>
  <c r="M34" i="10" s="1"/>
  <c r="AD33" i="10"/>
  <c r="AE33" i="10" s="1"/>
  <c r="Y33" i="10"/>
  <c r="X33" i="10"/>
  <c r="H33" i="10"/>
  <c r="J33" i="10" s="1"/>
  <c r="AD32" i="10"/>
  <c r="AE32" i="10" s="1"/>
  <c r="Y32" i="10"/>
  <c r="X32" i="10"/>
  <c r="H32" i="10"/>
  <c r="M32" i="10" s="1"/>
  <c r="AD31" i="10"/>
  <c r="AE31" i="10" s="1"/>
  <c r="Y31" i="10"/>
  <c r="X31" i="10"/>
  <c r="H31" i="10"/>
  <c r="M31" i="10" s="1"/>
  <c r="AD30" i="10"/>
  <c r="AE30" i="10" s="1"/>
  <c r="Y30" i="10"/>
  <c r="X30" i="10"/>
  <c r="M30" i="10"/>
  <c r="H30" i="10"/>
  <c r="J30" i="10" s="1"/>
  <c r="AD29" i="10"/>
  <c r="AE29" i="10" s="1"/>
  <c r="Y29" i="10"/>
  <c r="X29" i="10"/>
  <c r="M29" i="10"/>
  <c r="J29" i="10"/>
  <c r="H29" i="10"/>
  <c r="AD28" i="10"/>
  <c r="AE28" i="10" s="1"/>
  <c r="Y28" i="10"/>
  <c r="X28" i="10"/>
  <c r="H28" i="10"/>
  <c r="M28" i="10" s="1"/>
  <c r="AD27" i="10"/>
  <c r="AE27" i="10" s="1"/>
  <c r="Y27" i="10"/>
  <c r="X27" i="10"/>
  <c r="H27" i="10"/>
  <c r="M27" i="10" s="1"/>
  <c r="AE26" i="10"/>
  <c r="AD26" i="10"/>
  <c r="Y26" i="10"/>
  <c r="X26" i="10"/>
  <c r="H26" i="10"/>
  <c r="J26" i="10" s="1"/>
  <c r="AD25" i="10"/>
  <c r="AE25" i="10" s="1"/>
  <c r="Y25" i="10"/>
  <c r="X25" i="10"/>
  <c r="H25" i="10"/>
  <c r="J25" i="10" s="1"/>
  <c r="AD24" i="10"/>
  <c r="AE24" i="10" s="1"/>
  <c r="Y24" i="10"/>
  <c r="X24" i="10"/>
  <c r="H24" i="10"/>
  <c r="M24" i="10" s="1"/>
  <c r="AD23" i="10"/>
  <c r="AE23" i="10" s="1"/>
  <c r="Y23" i="10"/>
  <c r="X23" i="10"/>
  <c r="H23" i="10"/>
  <c r="M23" i="10" s="1"/>
  <c r="AD22" i="10"/>
  <c r="AE22" i="10" s="1"/>
  <c r="Y22" i="10"/>
  <c r="X22" i="10"/>
  <c r="M22" i="10"/>
  <c r="H22" i="10"/>
  <c r="J22" i="10" s="1"/>
  <c r="AD21" i="10"/>
  <c r="AE21" i="10" s="1"/>
  <c r="Y21" i="10"/>
  <c r="X21" i="10"/>
  <c r="H21" i="10"/>
  <c r="J21" i="10" s="1"/>
  <c r="AD20" i="10"/>
  <c r="AE20" i="10" s="1"/>
  <c r="Y20" i="10"/>
  <c r="X20" i="10"/>
  <c r="H20" i="10"/>
  <c r="M20" i="10" s="1"/>
  <c r="AD19" i="10"/>
  <c r="AE19" i="10" s="1"/>
  <c r="Y19" i="10"/>
  <c r="X19" i="10"/>
  <c r="H19" i="10"/>
  <c r="M19" i="10" s="1"/>
  <c r="AE18" i="10"/>
  <c r="AD18" i="10"/>
  <c r="Y18" i="10"/>
  <c r="X18" i="10"/>
  <c r="H18" i="10"/>
  <c r="M18" i="10" s="1"/>
  <c r="AD17" i="10"/>
  <c r="AE17" i="10" s="1"/>
  <c r="Y17" i="10"/>
  <c r="X17" i="10"/>
  <c r="H17" i="10"/>
  <c r="M17" i="10" s="1"/>
  <c r="AD16" i="10"/>
  <c r="AE16" i="10" s="1"/>
  <c r="Y16" i="10"/>
  <c r="X16" i="10"/>
  <c r="H16" i="10"/>
  <c r="M16" i="10" s="1"/>
  <c r="AD15" i="10"/>
  <c r="AE15" i="10" s="1"/>
  <c r="Y15" i="10"/>
  <c r="X15" i="10"/>
  <c r="H15" i="10"/>
  <c r="M15" i="10" s="1"/>
  <c r="AD14" i="10"/>
  <c r="AE14" i="10" s="1"/>
  <c r="Y14" i="10"/>
  <c r="X14" i="10"/>
  <c r="H14" i="10"/>
  <c r="J14" i="10" s="1"/>
  <c r="AD13" i="10"/>
  <c r="AE13" i="10" s="1"/>
  <c r="Y13" i="10"/>
  <c r="X13" i="10"/>
  <c r="M13" i="10"/>
  <c r="J13" i="10"/>
  <c r="H13" i="10"/>
  <c r="AD12" i="10"/>
  <c r="AE12" i="10" s="1"/>
  <c r="Y12" i="10"/>
  <c r="X12" i="10"/>
  <c r="H12" i="10"/>
  <c r="M12" i="10" s="1"/>
  <c r="AD11" i="10"/>
  <c r="AE11" i="10" s="1"/>
  <c r="Y11" i="10"/>
  <c r="X11" i="10"/>
  <c r="H11" i="10"/>
  <c r="M11" i="10" s="1"/>
  <c r="AD10" i="10"/>
  <c r="AE10" i="10" s="1"/>
  <c r="Y10" i="10"/>
  <c r="X10" i="10"/>
  <c r="H10" i="10"/>
  <c r="J10" i="10" s="1"/>
  <c r="AD9" i="10"/>
  <c r="AE9" i="10" s="1"/>
  <c r="Y9" i="10"/>
  <c r="X9" i="10"/>
  <c r="H9" i="10"/>
  <c r="J9" i="10" s="1"/>
  <c r="AD8" i="10"/>
  <c r="AE8" i="10" s="1"/>
  <c r="Y8" i="10"/>
  <c r="X8" i="10"/>
  <c r="H8" i="10"/>
  <c r="M8" i="10" s="1"/>
  <c r="AD7" i="10"/>
  <c r="AE7" i="10" s="1"/>
  <c r="Y7" i="10"/>
  <c r="X7" i="10"/>
  <c r="H7" i="10"/>
  <c r="M7" i="10" s="1"/>
  <c r="AD6" i="10"/>
  <c r="Y6" i="10"/>
  <c r="X6" i="10"/>
  <c r="M6" i="10"/>
  <c r="H6" i="10"/>
  <c r="J6" i="10" s="1"/>
  <c r="AC36" i="9"/>
  <c r="AB36" i="9"/>
  <c r="AA36" i="9"/>
  <c r="Z36" i="9"/>
  <c r="W36" i="9"/>
  <c r="V36" i="9"/>
  <c r="U36" i="9"/>
  <c r="T36" i="9"/>
  <c r="S36" i="9"/>
  <c r="Q36" i="9"/>
  <c r="P36" i="9"/>
  <c r="N36" i="9"/>
  <c r="L36" i="9"/>
  <c r="K36" i="9"/>
  <c r="I36" i="9"/>
  <c r="F36" i="9"/>
  <c r="D36" i="9"/>
  <c r="AE35" i="9"/>
  <c r="AD35" i="9"/>
  <c r="Y35" i="9"/>
  <c r="X35" i="9"/>
  <c r="H35" i="9"/>
  <c r="J35" i="9" s="1"/>
  <c r="AD34" i="9"/>
  <c r="AE34" i="9" s="1"/>
  <c r="Y34" i="9"/>
  <c r="X34" i="9"/>
  <c r="H34" i="9"/>
  <c r="M34" i="9" s="1"/>
  <c r="AD33" i="9"/>
  <c r="AE33" i="9" s="1"/>
  <c r="Y33" i="9"/>
  <c r="X33" i="9"/>
  <c r="H33" i="9"/>
  <c r="M33" i="9" s="1"/>
  <c r="AD32" i="9"/>
  <c r="AE32" i="9" s="1"/>
  <c r="Y32" i="9"/>
  <c r="X32" i="9"/>
  <c r="H32" i="9"/>
  <c r="M32" i="9" s="1"/>
  <c r="AD31" i="9"/>
  <c r="AE31" i="9" s="1"/>
  <c r="Y31" i="9"/>
  <c r="X31" i="9"/>
  <c r="M31" i="9"/>
  <c r="H31" i="9"/>
  <c r="J31" i="9" s="1"/>
  <c r="AD30" i="9"/>
  <c r="AE30" i="9" s="1"/>
  <c r="Y30" i="9"/>
  <c r="X30" i="9"/>
  <c r="M30" i="9"/>
  <c r="J30" i="9"/>
  <c r="H30" i="9"/>
  <c r="AD29" i="9"/>
  <c r="AE29" i="9" s="1"/>
  <c r="Y29" i="9"/>
  <c r="X29" i="9"/>
  <c r="H29" i="9"/>
  <c r="J29" i="9" s="1"/>
  <c r="AD28" i="9"/>
  <c r="AE28" i="9" s="1"/>
  <c r="Y28" i="9"/>
  <c r="X28" i="9"/>
  <c r="H28" i="9"/>
  <c r="M28" i="9" s="1"/>
  <c r="AE27" i="9"/>
  <c r="AD27" i="9"/>
  <c r="Y27" i="9"/>
  <c r="X27" i="9"/>
  <c r="H27" i="9"/>
  <c r="J27" i="9" s="1"/>
  <c r="AD26" i="9"/>
  <c r="AE26" i="9" s="1"/>
  <c r="Y26" i="9"/>
  <c r="X26" i="9"/>
  <c r="M26" i="9"/>
  <c r="J26" i="9"/>
  <c r="H26" i="9"/>
  <c r="AD25" i="9"/>
  <c r="AE25" i="9" s="1"/>
  <c r="Y25" i="9"/>
  <c r="X25" i="9"/>
  <c r="H25" i="9"/>
  <c r="M25" i="9" s="1"/>
  <c r="AD24" i="9"/>
  <c r="AE24" i="9" s="1"/>
  <c r="Y24" i="9"/>
  <c r="X24" i="9"/>
  <c r="H24" i="9"/>
  <c r="M24" i="9" s="1"/>
  <c r="AD23" i="9"/>
  <c r="AE23" i="9" s="1"/>
  <c r="Y23" i="9"/>
  <c r="X23" i="9"/>
  <c r="M23" i="9"/>
  <c r="H23" i="9"/>
  <c r="J23" i="9" s="1"/>
  <c r="AD22" i="9"/>
  <c r="AE22" i="9" s="1"/>
  <c r="Y22" i="9"/>
  <c r="X22" i="9"/>
  <c r="M22" i="9"/>
  <c r="J22" i="9"/>
  <c r="H22" i="9"/>
  <c r="AE21" i="9"/>
  <c r="AD21" i="9"/>
  <c r="Y21" i="9"/>
  <c r="X21" i="9"/>
  <c r="H21" i="9"/>
  <c r="J21" i="9" s="1"/>
  <c r="AD20" i="9"/>
  <c r="AE20" i="9" s="1"/>
  <c r="Y20" i="9"/>
  <c r="X20" i="9"/>
  <c r="H20" i="9"/>
  <c r="M20" i="9" s="1"/>
  <c r="AD19" i="9"/>
  <c r="AE19" i="9" s="1"/>
  <c r="Y19" i="9"/>
  <c r="X19" i="9"/>
  <c r="M19" i="9"/>
  <c r="H19" i="9"/>
  <c r="J19" i="9" s="1"/>
  <c r="AD18" i="9"/>
  <c r="AE18" i="9" s="1"/>
  <c r="Y18" i="9"/>
  <c r="X18" i="9"/>
  <c r="H18" i="9"/>
  <c r="M18" i="9" s="1"/>
  <c r="AD17" i="9"/>
  <c r="AE17" i="9" s="1"/>
  <c r="Y17" i="9"/>
  <c r="X17" i="9"/>
  <c r="H17" i="9"/>
  <c r="M17" i="9" s="1"/>
  <c r="AD16" i="9"/>
  <c r="AE16" i="9" s="1"/>
  <c r="Y16" i="9"/>
  <c r="X16" i="9"/>
  <c r="H16" i="9"/>
  <c r="M16" i="9" s="1"/>
  <c r="AE15" i="9"/>
  <c r="AD15" i="9"/>
  <c r="Y15" i="9"/>
  <c r="X15" i="9"/>
  <c r="H15" i="9"/>
  <c r="J15" i="9" s="1"/>
  <c r="AD14" i="9"/>
  <c r="AE14" i="9" s="1"/>
  <c r="Y14" i="9"/>
  <c r="X14" i="9"/>
  <c r="J14" i="9"/>
  <c r="H14" i="9"/>
  <c r="M14" i="9" s="1"/>
  <c r="AD13" i="9"/>
  <c r="AE13" i="9" s="1"/>
  <c r="Y13" i="9"/>
  <c r="X13" i="9"/>
  <c r="H13" i="9"/>
  <c r="J13" i="9" s="1"/>
  <c r="AD12" i="9"/>
  <c r="AE12" i="9" s="1"/>
  <c r="Y12" i="9"/>
  <c r="X12" i="9"/>
  <c r="H12" i="9"/>
  <c r="M12" i="9" s="1"/>
  <c r="AD11" i="9"/>
  <c r="AE11" i="9" s="1"/>
  <c r="Y11" i="9"/>
  <c r="X11" i="9"/>
  <c r="H11" i="9"/>
  <c r="J11" i="9" s="1"/>
  <c r="AD10" i="9"/>
  <c r="AE10" i="9" s="1"/>
  <c r="Y10" i="9"/>
  <c r="X10" i="9"/>
  <c r="J10" i="9"/>
  <c r="H10" i="9"/>
  <c r="M10" i="9" s="1"/>
  <c r="AD9" i="9"/>
  <c r="AE9" i="9" s="1"/>
  <c r="Y9" i="9"/>
  <c r="X9" i="9"/>
  <c r="H9" i="9"/>
  <c r="M9" i="9" s="1"/>
  <c r="AD8" i="9"/>
  <c r="AE8" i="9" s="1"/>
  <c r="Y8" i="9"/>
  <c r="X8" i="9"/>
  <c r="H8" i="9"/>
  <c r="M8" i="9" s="1"/>
  <c r="AE7" i="9"/>
  <c r="AD7" i="9"/>
  <c r="Y7" i="9"/>
  <c r="X7" i="9"/>
  <c r="H7" i="9"/>
  <c r="J7" i="9" s="1"/>
  <c r="AD6" i="9"/>
  <c r="Y6" i="9"/>
  <c r="X6" i="9"/>
  <c r="H6" i="9"/>
  <c r="AC36" i="8"/>
  <c r="AB36" i="8"/>
  <c r="AA36" i="8"/>
  <c r="Z36" i="8"/>
  <c r="W36" i="8"/>
  <c r="V36" i="8"/>
  <c r="U36" i="8"/>
  <c r="T36" i="8"/>
  <c r="S36" i="8"/>
  <c r="Q36" i="8"/>
  <c r="P36" i="8"/>
  <c r="N36" i="8"/>
  <c r="L36" i="8"/>
  <c r="K36" i="8"/>
  <c r="I36" i="8"/>
  <c r="F36" i="8"/>
  <c r="D36" i="8"/>
  <c r="AD35" i="8"/>
  <c r="AE35" i="8" s="1"/>
  <c r="Y35" i="8"/>
  <c r="X35" i="8"/>
  <c r="H35" i="8"/>
  <c r="M35" i="8" s="1"/>
  <c r="AD34" i="8"/>
  <c r="AE34" i="8" s="1"/>
  <c r="Y34" i="8"/>
  <c r="X34" i="8"/>
  <c r="H34" i="8"/>
  <c r="M34" i="8" s="1"/>
  <c r="AE33" i="8"/>
  <c r="AD33" i="8"/>
  <c r="Y33" i="8"/>
  <c r="X33" i="8"/>
  <c r="H33" i="8"/>
  <c r="M33" i="8" s="1"/>
  <c r="AD32" i="8"/>
  <c r="AE32" i="8" s="1"/>
  <c r="Y32" i="8"/>
  <c r="X32" i="8"/>
  <c r="M32" i="8"/>
  <c r="H32" i="8"/>
  <c r="J32" i="8" s="1"/>
  <c r="AD31" i="8"/>
  <c r="AE31" i="8" s="1"/>
  <c r="Y31" i="8"/>
  <c r="X31" i="8"/>
  <c r="H31" i="8"/>
  <c r="M31" i="8" s="1"/>
  <c r="AD30" i="8"/>
  <c r="AE30" i="8" s="1"/>
  <c r="Y30" i="8"/>
  <c r="X30" i="8"/>
  <c r="H30" i="8"/>
  <c r="M30" i="8" s="1"/>
  <c r="AD29" i="8"/>
  <c r="AE29" i="8" s="1"/>
  <c r="Y29" i="8"/>
  <c r="X29" i="8"/>
  <c r="H29" i="8"/>
  <c r="J29" i="8" s="1"/>
  <c r="AD28" i="8"/>
  <c r="AE28" i="8" s="1"/>
  <c r="Y28" i="8"/>
  <c r="X28" i="8"/>
  <c r="J28" i="8"/>
  <c r="H28" i="8"/>
  <c r="M28" i="8" s="1"/>
  <c r="AD27" i="8"/>
  <c r="AE27" i="8" s="1"/>
  <c r="Y27" i="8"/>
  <c r="X27" i="8"/>
  <c r="H27" i="8"/>
  <c r="M27" i="8" s="1"/>
  <c r="AD26" i="8"/>
  <c r="AE26" i="8" s="1"/>
  <c r="Y26" i="8"/>
  <c r="X26" i="8"/>
  <c r="H26" i="8"/>
  <c r="M26" i="8" s="1"/>
  <c r="AE25" i="8"/>
  <c r="AD25" i="8"/>
  <c r="Y25" i="8"/>
  <c r="X25" i="8"/>
  <c r="M25" i="8"/>
  <c r="H25" i="8"/>
  <c r="J25" i="8" s="1"/>
  <c r="AD24" i="8"/>
  <c r="AE24" i="8" s="1"/>
  <c r="Y24" i="8"/>
  <c r="X24" i="8"/>
  <c r="H24" i="8"/>
  <c r="M24" i="8" s="1"/>
  <c r="AD23" i="8"/>
  <c r="AE23" i="8" s="1"/>
  <c r="Y23" i="8"/>
  <c r="X23" i="8"/>
  <c r="H23" i="8"/>
  <c r="M23" i="8" s="1"/>
  <c r="AD22" i="8"/>
  <c r="AE22" i="8" s="1"/>
  <c r="Y22" i="8"/>
  <c r="X22" i="8"/>
  <c r="H22" i="8"/>
  <c r="M22" i="8" s="1"/>
  <c r="AD21" i="8"/>
  <c r="AE21" i="8" s="1"/>
  <c r="Y21" i="8"/>
  <c r="X21" i="8"/>
  <c r="H21" i="8"/>
  <c r="J21" i="8" s="1"/>
  <c r="AD20" i="8"/>
  <c r="AE20" i="8" s="1"/>
  <c r="Y20" i="8"/>
  <c r="X20" i="8"/>
  <c r="M20" i="8"/>
  <c r="J20" i="8"/>
  <c r="H20" i="8"/>
  <c r="AD19" i="8"/>
  <c r="AE19" i="8" s="1"/>
  <c r="Y19" i="8"/>
  <c r="X19" i="8"/>
  <c r="H19" i="8"/>
  <c r="J19" i="8" s="1"/>
  <c r="AD18" i="8"/>
  <c r="AE18" i="8" s="1"/>
  <c r="Y18" i="8"/>
  <c r="X18" i="8"/>
  <c r="H18" i="8"/>
  <c r="M18" i="8" s="1"/>
  <c r="AE17" i="8"/>
  <c r="AD17" i="8"/>
  <c r="Y17" i="8"/>
  <c r="X17" i="8"/>
  <c r="M17" i="8"/>
  <c r="H17" i="8"/>
  <c r="J17" i="8" s="1"/>
  <c r="AD16" i="8"/>
  <c r="AE16" i="8" s="1"/>
  <c r="Y16" i="8"/>
  <c r="X16" i="8"/>
  <c r="J16" i="8"/>
  <c r="H16" i="8"/>
  <c r="M16" i="8" s="1"/>
  <c r="AD15" i="8"/>
  <c r="AE15" i="8" s="1"/>
  <c r="Y15" i="8"/>
  <c r="X15" i="8"/>
  <c r="H15" i="8"/>
  <c r="M15" i="8" s="1"/>
  <c r="AD14" i="8"/>
  <c r="AE14" i="8" s="1"/>
  <c r="Y14" i="8"/>
  <c r="X14" i="8"/>
  <c r="H14" i="8"/>
  <c r="M14" i="8" s="1"/>
  <c r="AD13" i="8"/>
  <c r="AE13" i="8" s="1"/>
  <c r="Y13" i="8"/>
  <c r="X13" i="8"/>
  <c r="H13" i="8"/>
  <c r="J13" i="8" s="1"/>
  <c r="AD12" i="8"/>
  <c r="AE12" i="8" s="1"/>
  <c r="Y12" i="8"/>
  <c r="X12" i="8"/>
  <c r="J12" i="8"/>
  <c r="H12" i="8"/>
  <c r="M12" i="8" s="1"/>
  <c r="AD11" i="8"/>
  <c r="AE11" i="8" s="1"/>
  <c r="Y11" i="8"/>
  <c r="X11" i="8"/>
  <c r="H11" i="8"/>
  <c r="J11" i="8" s="1"/>
  <c r="AD10" i="8"/>
  <c r="AE10" i="8" s="1"/>
  <c r="Y10" i="8"/>
  <c r="X10" i="8"/>
  <c r="H10" i="8"/>
  <c r="M10" i="8" s="1"/>
  <c r="AE9" i="8"/>
  <c r="AD9" i="8"/>
  <c r="Y9" i="8"/>
  <c r="X9" i="8"/>
  <c r="M9" i="8"/>
  <c r="H9" i="8"/>
  <c r="J9" i="8" s="1"/>
  <c r="AD8" i="8"/>
  <c r="AE8" i="8" s="1"/>
  <c r="Y8" i="8"/>
  <c r="X8" i="8"/>
  <c r="J8" i="8"/>
  <c r="H8" i="8"/>
  <c r="M8" i="8" s="1"/>
  <c r="AD7" i="8"/>
  <c r="AE7" i="8" s="1"/>
  <c r="Y7" i="8"/>
  <c r="X7" i="8"/>
  <c r="H7" i="8"/>
  <c r="M7" i="8" s="1"/>
  <c r="AD6" i="8"/>
  <c r="AE6" i="8" s="1"/>
  <c r="Y6" i="8"/>
  <c r="X6" i="8"/>
  <c r="H6" i="8"/>
  <c r="AC36" i="7"/>
  <c r="AB36" i="7"/>
  <c r="AA36" i="7"/>
  <c r="Z36" i="7"/>
  <c r="W36" i="7"/>
  <c r="V36" i="7"/>
  <c r="U36" i="7"/>
  <c r="T36" i="7"/>
  <c r="S36" i="7"/>
  <c r="Q36" i="7"/>
  <c r="P36" i="7"/>
  <c r="N36" i="7"/>
  <c r="L36" i="7"/>
  <c r="K36" i="7"/>
  <c r="I36" i="7"/>
  <c r="F36" i="7"/>
  <c r="D36" i="7"/>
  <c r="AD35" i="7"/>
  <c r="AE35" i="7" s="1"/>
  <c r="Y35" i="7"/>
  <c r="X35" i="7"/>
  <c r="H35" i="7"/>
  <c r="M35" i="7" s="1"/>
  <c r="AD34" i="7"/>
  <c r="AE34" i="7" s="1"/>
  <c r="Y34" i="7"/>
  <c r="X34" i="7"/>
  <c r="H34" i="7"/>
  <c r="M34" i="7" s="1"/>
  <c r="AD33" i="7"/>
  <c r="AE33" i="7" s="1"/>
  <c r="Y33" i="7"/>
  <c r="X33" i="7"/>
  <c r="H33" i="7"/>
  <c r="M33" i="7" s="1"/>
  <c r="AD32" i="7"/>
  <c r="AE32" i="7" s="1"/>
  <c r="Y32" i="7"/>
  <c r="X32" i="7"/>
  <c r="H32" i="7"/>
  <c r="M32" i="7" s="1"/>
  <c r="AE31" i="7"/>
  <c r="AD31" i="7"/>
  <c r="Y31" i="7"/>
  <c r="X31" i="7"/>
  <c r="H31" i="7"/>
  <c r="M31" i="7" s="1"/>
  <c r="AD30" i="7"/>
  <c r="AE30" i="7" s="1"/>
  <c r="Y30" i="7"/>
  <c r="X30" i="7"/>
  <c r="H30" i="7"/>
  <c r="J30" i="7" s="1"/>
  <c r="AE29" i="7"/>
  <c r="AD29" i="7"/>
  <c r="Y29" i="7"/>
  <c r="X29" i="7"/>
  <c r="H29" i="7"/>
  <c r="J29" i="7" s="1"/>
  <c r="AE28" i="7"/>
  <c r="AD28" i="7"/>
  <c r="Y28" i="7"/>
  <c r="X28" i="7"/>
  <c r="H28" i="7"/>
  <c r="M28" i="7" s="1"/>
  <c r="AD27" i="7"/>
  <c r="AE27" i="7" s="1"/>
  <c r="Y27" i="7"/>
  <c r="X27" i="7"/>
  <c r="H27" i="7"/>
  <c r="M27" i="7" s="1"/>
  <c r="AD26" i="7"/>
  <c r="AE26" i="7" s="1"/>
  <c r="Y26" i="7"/>
  <c r="X26" i="7"/>
  <c r="H26" i="7"/>
  <c r="M26" i="7" s="1"/>
  <c r="AE25" i="7"/>
  <c r="AD25" i="7"/>
  <c r="Y25" i="7"/>
  <c r="X25" i="7"/>
  <c r="H25" i="7"/>
  <c r="M25" i="7" s="1"/>
  <c r="AD24" i="7"/>
  <c r="AE24" i="7" s="1"/>
  <c r="Y24" i="7"/>
  <c r="X24" i="7"/>
  <c r="M24" i="7"/>
  <c r="J24" i="7"/>
  <c r="H24" i="7"/>
  <c r="AD23" i="7"/>
  <c r="AE23" i="7" s="1"/>
  <c r="Y23" i="7"/>
  <c r="X23" i="7"/>
  <c r="M23" i="7"/>
  <c r="J23" i="7"/>
  <c r="H23" i="7"/>
  <c r="AD22" i="7"/>
  <c r="AE22" i="7" s="1"/>
  <c r="Y22" i="7"/>
  <c r="X22" i="7"/>
  <c r="H22" i="7"/>
  <c r="J22" i="7" s="1"/>
  <c r="AD21" i="7"/>
  <c r="AE21" i="7" s="1"/>
  <c r="Y21" i="7"/>
  <c r="X21" i="7"/>
  <c r="M21" i="7"/>
  <c r="H21" i="7"/>
  <c r="J21" i="7" s="1"/>
  <c r="AD20" i="7"/>
  <c r="AE20" i="7" s="1"/>
  <c r="Y20" i="7"/>
  <c r="X20" i="7"/>
  <c r="M20" i="7"/>
  <c r="J20" i="7"/>
  <c r="H20" i="7"/>
  <c r="AD19" i="7"/>
  <c r="AE19" i="7" s="1"/>
  <c r="Y19" i="7"/>
  <c r="X19" i="7"/>
  <c r="H19" i="7"/>
  <c r="M19" i="7" s="1"/>
  <c r="AD18" i="7"/>
  <c r="AE18" i="7" s="1"/>
  <c r="Y18" i="7"/>
  <c r="X18" i="7"/>
  <c r="H18" i="7"/>
  <c r="M18" i="7" s="1"/>
  <c r="AD17" i="7"/>
  <c r="AE17" i="7" s="1"/>
  <c r="Y17" i="7"/>
  <c r="X17" i="7"/>
  <c r="H17" i="7"/>
  <c r="M17" i="7" s="1"/>
  <c r="AD16" i="7"/>
  <c r="AE16" i="7" s="1"/>
  <c r="Y16" i="7"/>
  <c r="X16" i="7"/>
  <c r="H16" i="7"/>
  <c r="M16" i="7" s="1"/>
  <c r="AE15" i="7"/>
  <c r="AD15" i="7"/>
  <c r="Y15" i="7"/>
  <c r="X15" i="7"/>
  <c r="M15" i="7"/>
  <c r="H15" i="7"/>
  <c r="J15" i="7" s="1"/>
  <c r="AD14" i="7"/>
  <c r="AE14" i="7" s="1"/>
  <c r="Y14" i="7"/>
  <c r="X14" i="7"/>
  <c r="H14" i="7"/>
  <c r="J14" i="7" s="1"/>
  <c r="AD13" i="7"/>
  <c r="AE13" i="7" s="1"/>
  <c r="Y13" i="7"/>
  <c r="X13" i="7"/>
  <c r="H13" i="7"/>
  <c r="J13" i="7" s="1"/>
  <c r="AE12" i="7"/>
  <c r="AD12" i="7"/>
  <c r="Y12" i="7"/>
  <c r="X12" i="7"/>
  <c r="H12" i="7"/>
  <c r="M12" i="7" s="1"/>
  <c r="AD11" i="7"/>
  <c r="AE11" i="7" s="1"/>
  <c r="Y11" i="7"/>
  <c r="X11" i="7"/>
  <c r="H11" i="7"/>
  <c r="M11" i="7" s="1"/>
  <c r="AD10" i="7"/>
  <c r="AE10" i="7" s="1"/>
  <c r="Y10" i="7"/>
  <c r="X10" i="7"/>
  <c r="H10" i="7"/>
  <c r="M10" i="7" s="1"/>
  <c r="AE9" i="7"/>
  <c r="AD9" i="7"/>
  <c r="Y9" i="7"/>
  <c r="X9" i="7"/>
  <c r="H9" i="7"/>
  <c r="M9" i="7" s="1"/>
  <c r="AD8" i="7"/>
  <c r="AE8" i="7" s="1"/>
  <c r="Y8" i="7"/>
  <c r="X8" i="7"/>
  <c r="M8" i="7"/>
  <c r="J8" i="7"/>
  <c r="H8" i="7"/>
  <c r="AE7" i="7"/>
  <c r="AD7" i="7"/>
  <c r="Y7" i="7"/>
  <c r="X7" i="7"/>
  <c r="M7" i="7"/>
  <c r="J7" i="7"/>
  <c r="H7" i="7"/>
  <c r="AD6" i="7"/>
  <c r="AE6" i="7" s="1"/>
  <c r="Y6" i="7"/>
  <c r="X6" i="7"/>
  <c r="H6" i="7"/>
  <c r="J6" i="7" s="1"/>
  <c r="AC36" i="6"/>
  <c r="AB36" i="6"/>
  <c r="AA36" i="6"/>
  <c r="Z36" i="6"/>
  <c r="W36" i="6"/>
  <c r="V36" i="6"/>
  <c r="U36" i="6"/>
  <c r="T36" i="6"/>
  <c r="S36" i="6"/>
  <c r="Q36" i="6"/>
  <c r="P36" i="6"/>
  <c r="N36" i="6"/>
  <c r="L36" i="6"/>
  <c r="K36" i="6"/>
  <c r="I36" i="6"/>
  <c r="F36" i="6"/>
  <c r="D36" i="6"/>
  <c r="AD35" i="6"/>
  <c r="AE35" i="6" s="1"/>
  <c r="Y35" i="6"/>
  <c r="X35" i="6"/>
  <c r="H35" i="6"/>
  <c r="M35" i="6" s="1"/>
  <c r="AD34" i="6"/>
  <c r="AE34" i="6" s="1"/>
  <c r="Y34" i="6"/>
  <c r="X34" i="6"/>
  <c r="H34" i="6"/>
  <c r="M34" i="6" s="1"/>
  <c r="AD33" i="6"/>
  <c r="AE33" i="6" s="1"/>
  <c r="Y33" i="6"/>
  <c r="X33" i="6"/>
  <c r="M33" i="6"/>
  <c r="J33" i="6"/>
  <c r="H33" i="6"/>
  <c r="AD32" i="6"/>
  <c r="AE32" i="6" s="1"/>
  <c r="Y32" i="6"/>
  <c r="X32" i="6"/>
  <c r="M32" i="6"/>
  <c r="J32" i="6"/>
  <c r="H32" i="6"/>
  <c r="AD31" i="6"/>
  <c r="AE31" i="6" s="1"/>
  <c r="Y31" i="6"/>
  <c r="X31" i="6"/>
  <c r="H31" i="6"/>
  <c r="M31" i="6" s="1"/>
  <c r="AD30" i="6"/>
  <c r="AE30" i="6" s="1"/>
  <c r="Y30" i="6"/>
  <c r="X30" i="6"/>
  <c r="H30" i="6"/>
  <c r="M30" i="6" s="1"/>
  <c r="AD29" i="6"/>
  <c r="AE29" i="6" s="1"/>
  <c r="Y29" i="6"/>
  <c r="X29" i="6"/>
  <c r="H29" i="6"/>
  <c r="M29" i="6" s="1"/>
  <c r="AD28" i="6"/>
  <c r="AE28" i="6" s="1"/>
  <c r="Y28" i="6"/>
  <c r="X28" i="6"/>
  <c r="H28" i="6"/>
  <c r="M28" i="6" s="1"/>
  <c r="AD27" i="6"/>
  <c r="AE27" i="6" s="1"/>
  <c r="Y27" i="6"/>
  <c r="X27" i="6"/>
  <c r="J27" i="6"/>
  <c r="H27" i="6"/>
  <c r="M27" i="6" s="1"/>
  <c r="AD26" i="6"/>
  <c r="AE26" i="6" s="1"/>
  <c r="Y26" i="6"/>
  <c r="X26" i="6"/>
  <c r="H26" i="6"/>
  <c r="M26" i="6" s="1"/>
  <c r="AD25" i="6"/>
  <c r="AE25" i="6" s="1"/>
  <c r="Y25" i="6"/>
  <c r="X25" i="6"/>
  <c r="M25" i="6"/>
  <c r="J25" i="6"/>
  <c r="H25" i="6"/>
  <c r="AD24" i="6"/>
  <c r="AE24" i="6" s="1"/>
  <c r="Y24" i="6"/>
  <c r="X24" i="6"/>
  <c r="M24" i="6"/>
  <c r="J24" i="6"/>
  <c r="H24" i="6"/>
  <c r="AD23" i="6"/>
  <c r="AE23" i="6" s="1"/>
  <c r="Y23" i="6"/>
  <c r="X23" i="6"/>
  <c r="H23" i="6"/>
  <c r="J23" i="6" s="1"/>
  <c r="AD22" i="6"/>
  <c r="AE22" i="6" s="1"/>
  <c r="Y22" i="6"/>
  <c r="X22" i="6"/>
  <c r="H22" i="6"/>
  <c r="J22" i="6" s="1"/>
  <c r="AD21" i="6"/>
  <c r="AE21" i="6" s="1"/>
  <c r="Y21" i="6"/>
  <c r="X21" i="6"/>
  <c r="H21" i="6"/>
  <c r="M21" i="6" s="1"/>
  <c r="AD20" i="6"/>
  <c r="AE20" i="6" s="1"/>
  <c r="Y20" i="6"/>
  <c r="X20" i="6"/>
  <c r="H20" i="6"/>
  <c r="M20" i="6" s="1"/>
  <c r="AD19" i="6"/>
  <c r="AE19" i="6" s="1"/>
  <c r="Y19" i="6"/>
  <c r="X19" i="6"/>
  <c r="J19" i="6"/>
  <c r="H19" i="6"/>
  <c r="M19" i="6" s="1"/>
  <c r="AD18" i="6"/>
  <c r="AE18" i="6" s="1"/>
  <c r="Y18" i="6"/>
  <c r="X18" i="6"/>
  <c r="H18" i="6"/>
  <c r="M18" i="6" s="1"/>
  <c r="AD17" i="6"/>
  <c r="AE17" i="6" s="1"/>
  <c r="Y17" i="6"/>
  <c r="X17" i="6"/>
  <c r="M17" i="6"/>
  <c r="J17" i="6"/>
  <c r="H17" i="6"/>
  <c r="AD16" i="6"/>
  <c r="AE16" i="6" s="1"/>
  <c r="Y16" i="6"/>
  <c r="X16" i="6"/>
  <c r="M16" i="6"/>
  <c r="J16" i="6"/>
  <c r="H16" i="6"/>
  <c r="AD15" i="6"/>
  <c r="AE15" i="6" s="1"/>
  <c r="Y15" i="6"/>
  <c r="X15" i="6"/>
  <c r="H15" i="6"/>
  <c r="J15" i="6" s="1"/>
  <c r="AD14" i="6"/>
  <c r="AE14" i="6" s="1"/>
  <c r="Y14" i="6"/>
  <c r="X14" i="6"/>
  <c r="H14" i="6"/>
  <c r="M14" i="6" s="1"/>
  <c r="AD13" i="6"/>
  <c r="AE13" i="6" s="1"/>
  <c r="Y13" i="6"/>
  <c r="X13" i="6"/>
  <c r="H13" i="6"/>
  <c r="M13" i="6" s="1"/>
  <c r="AD12" i="6"/>
  <c r="AE12" i="6" s="1"/>
  <c r="Y12" i="6"/>
  <c r="X12" i="6"/>
  <c r="H12" i="6"/>
  <c r="M12" i="6" s="1"/>
  <c r="AD11" i="6"/>
  <c r="AE11" i="6" s="1"/>
  <c r="Y11" i="6"/>
  <c r="X11" i="6"/>
  <c r="H11" i="6"/>
  <c r="M11" i="6" s="1"/>
  <c r="AD10" i="6"/>
  <c r="AE10" i="6" s="1"/>
  <c r="Y10" i="6"/>
  <c r="X10" i="6"/>
  <c r="H10" i="6"/>
  <c r="M10" i="6" s="1"/>
  <c r="AD9" i="6"/>
  <c r="AE9" i="6" s="1"/>
  <c r="Y9" i="6"/>
  <c r="X9" i="6"/>
  <c r="M9" i="6"/>
  <c r="J9" i="6"/>
  <c r="H9" i="6"/>
  <c r="AD8" i="6"/>
  <c r="AE8" i="6" s="1"/>
  <c r="Y8" i="6"/>
  <c r="X8" i="6"/>
  <c r="M8" i="6"/>
  <c r="J8" i="6"/>
  <c r="H8" i="6"/>
  <c r="AD7" i="6"/>
  <c r="AE7" i="6" s="1"/>
  <c r="Y7" i="6"/>
  <c r="X7" i="6"/>
  <c r="H7" i="6"/>
  <c r="M7" i="6" s="1"/>
  <c r="AD6" i="6"/>
  <c r="AE6" i="6" s="1"/>
  <c r="Y6" i="6"/>
  <c r="Y36" i="6" s="1"/>
  <c r="X6" i="6"/>
  <c r="H6" i="6"/>
  <c r="AC36" i="5"/>
  <c r="AB36" i="5"/>
  <c r="AA36" i="5"/>
  <c r="Z36" i="5"/>
  <c r="W36" i="5"/>
  <c r="V36" i="5"/>
  <c r="U36" i="5"/>
  <c r="T36" i="5"/>
  <c r="S36" i="5"/>
  <c r="Q36" i="5"/>
  <c r="P36" i="5"/>
  <c r="N36" i="5"/>
  <c r="L36" i="5"/>
  <c r="K36" i="5"/>
  <c r="I36" i="5"/>
  <c r="F36" i="5"/>
  <c r="D36" i="5"/>
  <c r="AD35" i="5"/>
  <c r="AE35" i="5" s="1"/>
  <c r="Y35" i="5"/>
  <c r="X35" i="5"/>
  <c r="H35" i="5"/>
  <c r="M35" i="5" s="1"/>
  <c r="AD34" i="5"/>
  <c r="AE34" i="5" s="1"/>
  <c r="Y34" i="5"/>
  <c r="X34" i="5"/>
  <c r="H34" i="5"/>
  <c r="M34" i="5" s="1"/>
  <c r="AE33" i="5"/>
  <c r="AD33" i="5"/>
  <c r="Y33" i="5"/>
  <c r="X33" i="5"/>
  <c r="H33" i="5"/>
  <c r="J33" i="5" s="1"/>
  <c r="AD32" i="5"/>
  <c r="AE32" i="5" s="1"/>
  <c r="Y32" i="5"/>
  <c r="X32" i="5"/>
  <c r="J32" i="5"/>
  <c r="H32" i="5"/>
  <c r="M32" i="5" s="1"/>
  <c r="AD31" i="5"/>
  <c r="AE31" i="5" s="1"/>
  <c r="Y31" i="5"/>
  <c r="X31" i="5"/>
  <c r="H31" i="5"/>
  <c r="J31" i="5" s="1"/>
  <c r="AD30" i="5"/>
  <c r="AE30" i="5" s="1"/>
  <c r="Y30" i="5"/>
  <c r="X30" i="5"/>
  <c r="H30" i="5"/>
  <c r="M30" i="5" s="1"/>
  <c r="AD29" i="5"/>
  <c r="AE29" i="5" s="1"/>
  <c r="Y29" i="5"/>
  <c r="X29" i="5"/>
  <c r="M29" i="5"/>
  <c r="H29" i="5"/>
  <c r="J29" i="5" s="1"/>
  <c r="AD28" i="5"/>
  <c r="AE28" i="5" s="1"/>
  <c r="Y28" i="5"/>
  <c r="X28" i="5"/>
  <c r="H28" i="5"/>
  <c r="M28" i="5" s="1"/>
  <c r="AE27" i="5"/>
  <c r="AD27" i="5"/>
  <c r="Y27" i="5"/>
  <c r="X27" i="5"/>
  <c r="H27" i="5"/>
  <c r="J27" i="5" s="1"/>
  <c r="AD26" i="5"/>
  <c r="AE26" i="5" s="1"/>
  <c r="Y26" i="5"/>
  <c r="X26" i="5"/>
  <c r="H26" i="5"/>
  <c r="M26" i="5" s="1"/>
  <c r="AD25" i="5"/>
  <c r="AE25" i="5" s="1"/>
  <c r="Y25" i="5"/>
  <c r="X25" i="5"/>
  <c r="M25" i="5"/>
  <c r="H25" i="5"/>
  <c r="J25" i="5" s="1"/>
  <c r="AD24" i="5"/>
  <c r="AE24" i="5" s="1"/>
  <c r="Y24" i="5"/>
  <c r="X24" i="5"/>
  <c r="H24" i="5"/>
  <c r="M24" i="5" s="1"/>
  <c r="AD23" i="5"/>
  <c r="AE23" i="5" s="1"/>
  <c r="Y23" i="5"/>
  <c r="X23" i="5"/>
  <c r="H23" i="5"/>
  <c r="J23" i="5" s="1"/>
  <c r="AD22" i="5"/>
  <c r="AE22" i="5" s="1"/>
  <c r="Y22" i="5"/>
  <c r="X22" i="5"/>
  <c r="H22" i="5"/>
  <c r="M22" i="5" s="1"/>
  <c r="AD21" i="5"/>
  <c r="AE21" i="5" s="1"/>
  <c r="Y21" i="5"/>
  <c r="X21" i="5"/>
  <c r="M21" i="5"/>
  <c r="H21" i="5"/>
  <c r="J21" i="5" s="1"/>
  <c r="AD20" i="5"/>
  <c r="AE20" i="5" s="1"/>
  <c r="Y20" i="5"/>
  <c r="X20" i="5"/>
  <c r="M20" i="5"/>
  <c r="J20" i="5"/>
  <c r="H20" i="5"/>
  <c r="AD19" i="5"/>
  <c r="AE19" i="5" s="1"/>
  <c r="Y19" i="5"/>
  <c r="X19" i="5"/>
  <c r="H19" i="5"/>
  <c r="J19" i="5" s="1"/>
  <c r="AD18" i="5"/>
  <c r="AE18" i="5" s="1"/>
  <c r="Y18" i="5"/>
  <c r="X18" i="5"/>
  <c r="H18" i="5"/>
  <c r="M18" i="5" s="1"/>
  <c r="AD17" i="5"/>
  <c r="AE17" i="5" s="1"/>
  <c r="Y17" i="5"/>
  <c r="X17" i="5"/>
  <c r="H17" i="5"/>
  <c r="J17" i="5" s="1"/>
  <c r="AD16" i="5"/>
  <c r="AE16" i="5" s="1"/>
  <c r="Y16" i="5"/>
  <c r="X16" i="5"/>
  <c r="M16" i="5"/>
  <c r="J16" i="5"/>
  <c r="H16" i="5"/>
  <c r="AD15" i="5"/>
  <c r="AE15" i="5" s="1"/>
  <c r="Y15" i="5"/>
  <c r="X15" i="5"/>
  <c r="H15" i="5"/>
  <c r="J15" i="5" s="1"/>
  <c r="AD14" i="5"/>
  <c r="AE14" i="5" s="1"/>
  <c r="Y14" i="5"/>
  <c r="X14" i="5"/>
  <c r="H14" i="5"/>
  <c r="M14" i="5" s="1"/>
  <c r="AE13" i="5"/>
  <c r="AD13" i="5"/>
  <c r="Y13" i="5"/>
  <c r="X13" i="5"/>
  <c r="H13" i="5"/>
  <c r="J13" i="5" s="1"/>
  <c r="AD12" i="5"/>
  <c r="AE12" i="5" s="1"/>
  <c r="Y12" i="5"/>
  <c r="X12" i="5"/>
  <c r="J12" i="5"/>
  <c r="H12" i="5"/>
  <c r="M12" i="5" s="1"/>
  <c r="AD11" i="5"/>
  <c r="AE11" i="5" s="1"/>
  <c r="Y11" i="5"/>
  <c r="X11" i="5"/>
  <c r="H11" i="5"/>
  <c r="M11" i="5" s="1"/>
  <c r="AD10" i="5"/>
  <c r="AE10" i="5" s="1"/>
  <c r="Y10" i="5"/>
  <c r="X10" i="5"/>
  <c r="H10" i="5"/>
  <c r="M10" i="5" s="1"/>
  <c r="AE9" i="5"/>
  <c r="AD9" i="5"/>
  <c r="Y9" i="5"/>
  <c r="X9" i="5"/>
  <c r="H9" i="5"/>
  <c r="J9" i="5" s="1"/>
  <c r="AD8" i="5"/>
  <c r="AE8" i="5" s="1"/>
  <c r="Y8" i="5"/>
  <c r="X8" i="5"/>
  <c r="H8" i="5"/>
  <c r="J8" i="5" s="1"/>
  <c r="AD7" i="5"/>
  <c r="AE7" i="5" s="1"/>
  <c r="Y7" i="5"/>
  <c r="X7" i="5"/>
  <c r="H7" i="5"/>
  <c r="J7" i="5" s="1"/>
  <c r="AD6" i="5"/>
  <c r="Y6" i="5"/>
  <c r="X6" i="5"/>
  <c r="J6" i="5"/>
  <c r="H6" i="5"/>
  <c r="M6" i="5" s="1"/>
  <c r="AC36" i="4"/>
  <c r="AB36" i="4"/>
  <c r="AA36" i="4"/>
  <c r="Z36" i="4"/>
  <c r="W36" i="4"/>
  <c r="V36" i="4"/>
  <c r="U36" i="4"/>
  <c r="T36" i="4"/>
  <c r="S36" i="4"/>
  <c r="Q36" i="4"/>
  <c r="P36" i="4"/>
  <c r="N36" i="4"/>
  <c r="L36" i="4"/>
  <c r="K36" i="4"/>
  <c r="I36" i="4"/>
  <c r="F36" i="4"/>
  <c r="D36" i="4"/>
  <c r="AD35" i="4"/>
  <c r="AE35" i="4" s="1"/>
  <c r="Y35" i="4"/>
  <c r="X35" i="4"/>
  <c r="H35" i="4"/>
  <c r="J35" i="4" s="1"/>
  <c r="AD34" i="4"/>
  <c r="AE34" i="4" s="1"/>
  <c r="Y34" i="4"/>
  <c r="X34" i="4"/>
  <c r="H34" i="4"/>
  <c r="M34" i="4" s="1"/>
  <c r="AD33" i="4"/>
  <c r="AE33" i="4" s="1"/>
  <c r="Y33" i="4"/>
  <c r="X33" i="4"/>
  <c r="H33" i="4"/>
  <c r="M33" i="4" s="1"/>
  <c r="AD32" i="4"/>
  <c r="AE32" i="4" s="1"/>
  <c r="Y32" i="4"/>
  <c r="X32" i="4"/>
  <c r="H32" i="4"/>
  <c r="M32" i="4" s="1"/>
  <c r="AE31" i="4"/>
  <c r="AD31" i="4"/>
  <c r="Y31" i="4"/>
  <c r="X31" i="4"/>
  <c r="H31" i="4"/>
  <c r="M31" i="4" s="1"/>
  <c r="AD30" i="4"/>
  <c r="AE30" i="4" s="1"/>
  <c r="Y30" i="4"/>
  <c r="X30" i="4"/>
  <c r="H30" i="4"/>
  <c r="J30" i="4" s="1"/>
  <c r="AD29" i="4"/>
  <c r="AE29" i="4" s="1"/>
  <c r="Y29" i="4"/>
  <c r="X29" i="4"/>
  <c r="H29" i="4"/>
  <c r="M29" i="4" s="1"/>
  <c r="AD28" i="4"/>
  <c r="AE28" i="4" s="1"/>
  <c r="Y28" i="4"/>
  <c r="X28" i="4"/>
  <c r="H28" i="4"/>
  <c r="M28" i="4" s="1"/>
  <c r="AD27" i="4"/>
  <c r="AE27" i="4" s="1"/>
  <c r="Y27" i="4"/>
  <c r="X27" i="4"/>
  <c r="H27" i="4"/>
  <c r="J27" i="4" s="1"/>
  <c r="AE26" i="4"/>
  <c r="AD26" i="4"/>
  <c r="Y26" i="4"/>
  <c r="X26" i="4"/>
  <c r="M26" i="4"/>
  <c r="J26" i="4"/>
  <c r="H26" i="4"/>
  <c r="AD25" i="4"/>
  <c r="AE25" i="4" s="1"/>
  <c r="Y25" i="4"/>
  <c r="X25" i="4"/>
  <c r="H25" i="4"/>
  <c r="M25" i="4" s="1"/>
  <c r="AD24" i="4"/>
  <c r="AE24" i="4" s="1"/>
  <c r="Y24" i="4"/>
  <c r="X24" i="4"/>
  <c r="H24" i="4"/>
  <c r="M24" i="4" s="1"/>
  <c r="AD23" i="4"/>
  <c r="AE23" i="4" s="1"/>
  <c r="Y23" i="4"/>
  <c r="X23" i="4"/>
  <c r="J23" i="4"/>
  <c r="H23" i="4"/>
  <c r="M23" i="4" s="1"/>
  <c r="AD22" i="4"/>
  <c r="AE22" i="4" s="1"/>
  <c r="Y22" i="4"/>
  <c r="X22" i="4"/>
  <c r="M22" i="4"/>
  <c r="H22" i="4"/>
  <c r="J22" i="4" s="1"/>
  <c r="AD21" i="4"/>
  <c r="AE21" i="4" s="1"/>
  <c r="Y21" i="4"/>
  <c r="X21" i="4"/>
  <c r="M21" i="4"/>
  <c r="H21" i="4"/>
  <c r="J21" i="4" s="1"/>
  <c r="AE20" i="4"/>
  <c r="AD20" i="4"/>
  <c r="Y20" i="4"/>
  <c r="X20" i="4"/>
  <c r="H20" i="4"/>
  <c r="M20" i="4" s="1"/>
  <c r="AD19" i="4"/>
  <c r="AE19" i="4" s="1"/>
  <c r="Y19" i="4"/>
  <c r="X19" i="4"/>
  <c r="M19" i="4"/>
  <c r="H19" i="4"/>
  <c r="J19" i="4" s="1"/>
  <c r="AE18" i="4"/>
  <c r="AD18" i="4"/>
  <c r="Y18" i="4"/>
  <c r="X18" i="4"/>
  <c r="J18" i="4"/>
  <c r="H18" i="4"/>
  <c r="M18" i="4" s="1"/>
  <c r="AD17" i="4"/>
  <c r="AE17" i="4" s="1"/>
  <c r="Y17" i="4"/>
  <c r="X17" i="4"/>
  <c r="H17" i="4"/>
  <c r="J17" i="4" s="1"/>
  <c r="AD16" i="4"/>
  <c r="AE16" i="4" s="1"/>
  <c r="Y16" i="4"/>
  <c r="X16" i="4"/>
  <c r="H16" i="4"/>
  <c r="M16" i="4" s="1"/>
  <c r="AD15" i="4"/>
  <c r="AE15" i="4" s="1"/>
  <c r="Y15" i="4"/>
  <c r="X15" i="4"/>
  <c r="J15" i="4"/>
  <c r="H15" i="4"/>
  <c r="M15" i="4" s="1"/>
  <c r="AD14" i="4"/>
  <c r="AE14" i="4" s="1"/>
  <c r="Y14" i="4"/>
  <c r="X14" i="4"/>
  <c r="M14" i="4"/>
  <c r="H14" i="4"/>
  <c r="J14" i="4" s="1"/>
  <c r="AD13" i="4"/>
  <c r="AE13" i="4" s="1"/>
  <c r="Y13" i="4"/>
  <c r="X13" i="4"/>
  <c r="M13" i="4"/>
  <c r="J13" i="4"/>
  <c r="H13" i="4"/>
  <c r="AE12" i="4"/>
  <c r="AD12" i="4"/>
  <c r="Y12" i="4"/>
  <c r="X12" i="4"/>
  <c r="H12" i="4"/>
  <c r="M12" i="4" s="1"/>
  <c r="AD11" i="4"/>
  <c r="AE11" i="4" s="1"/>
  <c r="Y11" i="4"/>
  <c r="X11" i="4"/>
  <c r="M11" i="4"/>
  <c r="H11" i="4"/>
  <c r="J11" i="4" s="1"/>
  <c r="AD10" i="4"/>
  <c r="AE10" i="4" s="1"/>
  <c r="Y10" i="4"/>
  <c r="X10" i="4"/>
  <c r="M10" i="4"/>
  <c r="H10" i="4"/>
  <c r="J10" i="4" s="1"/>
  <c r="AD9" i="4"/>
  <c r="AE9" i="4" s="1"/>
  <c r="Y9" i="4"/>
  <c r="X9" i="4"/>
  <c r="H9" i="4"/>
  <c r="J9" i="4" s="1"/>
  <c r="AD8" i="4"/>
  <c r="AE8" i="4" s="1"/>
  <c r="Y8" i="4"/>
  <c r="X8" i="4"/>
  <c r="H8" i="4"/>
  <c r="M8" i="4" s="1"/>
  <c r="AD7" i="4"/>
  <c r="AE7" i="4" s="1"/>
  <c r="Y7" i="4"/>
  <c r="X7" i="4"/>
  <c r="J7" i="4"/>
  <c r="H7" i="4"/>
  <c r="M7" i="4" s="1"/>
  <c r="AD6" i="4"/>
  <c r="Y6" i="4"/>
  <c r="X6" i="4"/>
  <c r="H6" i="4"/>
  <c r="J6" i="4" s="1"/>
  <c r="AB34" i="3"/>
  <c r="N5" i="14" s="1"/>
  <c r="AA34" i="3"/>
  <c r="Z34" i="3"/>
  <c r="Y34" i="3"/>
  <c r="W34" i="3"/>
  <c r="V34" i="3"/>
  <c r="U34" i="3"/>
  <c r="T34" i="3"/>
  <c r="S34" i="3"/>
  <c r="Q34" i="3"/>
  <c r="M5" i="14" s="1"/>
  <c r="P34" i="3"/>
  <c r="N34" i="3"/>
  <c r="L34" i="3"/>
  <c r="G5" i="14" s="1"/>
  <c r="K34" i="3"/>
  <c r="E5" i="14" s="1"/>
  <c r="I34" i="3"/>
  <c r="F34" i="3"/>
  <c r="D34" i="3"/>
  <c r="AC33" i="3"/>
  <c r="AD33" i="3" s="1"/>
  <c r="X33" i="3"/>
  <c r="H33" i="3"/>
  <c r="J33" i="3" s="1"/>
  <c r="AC32" i="3"/>
  <c r="AD32" i="3" s="1"/>
  <c r="X32" i="3"/>
  <c r="H32" i="3"/>
  <c r="M32" i="3" s="1"/>
  <c r="AC31" i="3"/>
  <c r="AD31" i="3" s="1"/>
  <c r="X31" i="3"/>
  <c r="H31" i="3"/>
  <c r="M31" i="3" s="1"/>
  <c r="AC30" i="3"/>
  <c r="AD30" i="3" s="1"/>
  <c r="X30" i="3"/>
  <c r="H30" i="3"/>
  <c r="M30" i="3" s="1"/>
  <c r="AC29" i="3"/>
  <c r="AD29" i="3" s="1"/>
  <c r="X29" i="3"/>
  <c r="H29" i="3"/>
  <c r="J29" i="3" s="1"/>
  <c r="AC28" i="3"/>
  <c r="AD28" i="3" s="1"/>
  <c r="X28" i="3"/>
  <c r="H28" i="3"/>
  <c r="M28" i="3" s="1"/>
  <c r="AC27" i="3"/>
  <c r="AD27" i="3" s="1"/>
  <c r="X27" i="3"/>
  <c r="H27" i="3"/>
  <c r="J27" i="3" s="1"/>
  <c r="AC26" i="3"/>
  <c r="AD26" i="3" s="1"/>
  <c r="X26" i="3"/>
  <c r="H26" i="3"/>
  <c r="M26" i="3" s="1"/>
  <c r="AC25" i="3"/>
  <c r="AD25" i="3" s="1"/>
  <c r="X25" i="3"/>
  <c r="H25" i="3"/>
  <c r="J25" i="3" s="1"/>
  <c r="AC24" i="3"/>
  <c r="AD24" i="3" s="1"/>
  <c r="X24" i="3"/>
  <c r="H24" i="3"/>
  <c r="AC23" i="3"/>
  <c r="AD23" i="3" s="1"/>
  <c r="X23" i="3"/>
  <c r="H23" i="3"/>
  <c r="M23" i="3" s="1"/>
  <c r="AC22" i="3"/>
  <c r="AD22" i="3" s="1"/>
  <c r="X22" i="3"/>
  <c r="H22" i="3"/>
  <c r="M22" i="3" s="1"/>
  <c r="AC21" i="3"/>
  <c r="AD21" i="3" s="1"/>
  <c r="X21" i="3"/>
  <c r="H21" i="3"/>
  <c r="J21" i="3" s="1"/>
  <c r="AC20" i="3"/>
  <c r="AD20" i="3" s="1"/>
  <c r="X20" i="3"/>
  <c r="H20" i="3"/>
  <c r="M20" i="3" s="1"/>
  <c r="AC19" i="3"/>
  <c r="AD19" i="3" s="1"/>
  <c r="X19" i="3"/>
  <c r="H19" i="3"/>
  <c r="J19" i="3" s="1"/>
  <c r="AC18" i="3"/>
  <c r="AD18" i="3" s="1"/>
  <c r="X18" i="3"/>
  <c r="H18" i="3"/>
  <c r="M18" i="3" s="1"/>
  <c r="AC17" i="3"/>
  <c r="X17" i="3"/>
  <c r="H17" i="3"/>
  <c r="J17" i="3" s="1"/>
  <c r="AC16" i="3"/>
  <c r="AD16" i="3" s="1"/>
  <c r="X16" i="3"/>
  <c r="H16" i="3"/>
  <c r="M16" i="3" s="1"/>
  <c r="AC15" i="3"/>
  <c r="AD15" i="3" s="1"/>
  <c r="X15" i="3"/>
  <c r="H15" i="3"/>
  <c r="M15" i="3" s="1"/>
  <c r="AC14" i="3"/>
  <c r="AD14" i="3" s="1"/>
  <c r="X14" i="3"/>
  <c r="H14" i="3"/>
  <c r="M14" i="3" s="1"/>
  <c r="AC13" i="3"/>
  <c r="AD13" i="3" s="1"/>
  <c r="X13" i="3"/>
  <c r="H13" i="3"/>
  <c r="J13" i="3" s="1"/>
  <c r="AC12" i="3"/>
  <c r="AD12" i="3" s="1"/>
  <c r="X12" i="3"/>
  <c r="H12" i="3"/>
  <c r="M12" i="3" s="1"/>
  <c r="AC11" i="3"/>
  <c r="AD11" i="3" s="1"/>
  <c r="X11" i="3"/>
  <c r="H11" i="3"/>
  <c r="M11" i="3" s="1"/>
  <c r="AC10" i="3"/>
  <c r="AD10" i="3" s="1"/>
  <c r="X10" i="3"/>
  <c r="H10" i="3"/>
  <c r="M10" i="3" s="1"/>
  <c r="AC9" i="3"/>
  <c r="AD9" i="3" s="1"/>
  <c r="X9" i="3"/>
  <c r="H9" i="3"/>
  <c r="J9" i="3" s="1"/>
  <c r="AC8" i="3"/>
  <c r="AD8" i="3" s="1"/>
  <c r="X8" i="3"/>
  <c r="H8" i="3"/>
  <c r="J8" i="3" s="1"/>
  <c r="AC7" i="3"/>
  <c r="AD7" i="3" s="1"/>
  <c r="X7" i="3"/>
  <c r="H7" i="3"/>
  <c r="M7" i="3" s="1"/>
  <c r="AC6" i="3"/>
  <c r="AD6" i="3" s="1"/>
  <c r="X6" i="3"/>
  <c r="H6" i="3"/>
  <c r="AB37" i="2"/>
  <c r="N4" i="14" s="1"/>
  <c r="AA37" i="2"/>
  <c r="Z37" i="2"/>
  <c r="Y37" i="2"/>
  <c r="W37" i="2"/>
  <c r="V37" i="2"/>
  <c r="U37" i="2"/>
  <c r="T37" i="2"/>
  <c r="S37" i="2"/>
  <c r="Q37" i="2"/>
  <c r="M4" i="14" s="1"/>
  <c r="P37" i="2"/>
  <c r="J4" i="14" s="1"/>
  <c r="J18" i="14" s="1"/>
  <c r="N37" i="2"/>
  <c r="L37" i="2"/>
  <c r="G4" i="14" s="1"/>
  <c r="K37" i="2"/>
  <c r="E4" i="14" s="1"/>
  <c r="I37" i="2"/>
  <c r="F37" i="2"/>
  <c r="D37" i="2"/>
  <c r="AC36" i="2"/>
  <c r="AD36" i="2" s="1"/>
  <c r="X36" i="2"/>
  <c r="H36" i="2"/>
  <c r="M36" i="2" s="1"/>
  <c r="AC34" i="2"/>
  <c r="AD34" i="2" s="1"/>
  <c r="X34" i="2"/>
  <c r="H34" i="2"/>
  <c r="J34" i="2" s="1"/>
  <c r="AC33" i="2"/>
  <c r="AD33" i="2" s="1"/>
  <c r="X33" i="2"/>
  <c r="H33" i="2"/>
  <c r="M33" i="2" s="1"/>
  <c r="AC32" i="2"/>
  <c r="AD32" i="2" s="1"/>
  <c r="X32" i="2"/>
  <c r="H32" i="2"/>
  <c r="M32" i="2" s="1"/>
  <c r="AC31" i="2"/>
  <c r="AD31" i="2" s="1"/>
  <c r="X31" i="2"/>
  <c r="H31" i="2"/>
  <c r="J31" i="2" s="1"/>
  <c r="AC30" i="2"/>
  <c r="AD30" i="2" s="1"/>
  <c r="X30" i="2"/>
  <c r="H30" i="2"/>
  <c r="M30" i="2" s="1"/>
  <c r="AC29" i="2"/>
  <c r="AD29" i="2" s="1"/>
  <c r="X29" i="2"/>
  <c r="H29" i="2"/>
  <c r="M29" i="2" s="1"/>
  <c r="AC28" i="2"/>
  <c r="AD28" i="2" s="1"/>
  <c r="X28" i="2"/>
  <c r="H28" i="2"/>
  <c r="M28" i="2" s="1"/>
  <c r="AC27" i="2"/>
  <c r="AD27" i="2" s="1"/>
  <c r="X27" i="2"/>
  <c r="H27" i="2"/>
  <c r="M27" i="2" s="1"/>
  <c r="AC26" i="2"/>
  <c r="AD26" i="2" s="1"/>
  <c r="X26" i="2"/>
  <c r="H26" i="2"/>
  <c r="J26" i="2" s="1"/>
  <c r="AC25" i="2"/>
  <c r="AD25" i="2" s="1"/>
  <c r="X25" i="2"/>
  <c r="H25" i="2"/>
  <c r="J25" i="2" s="1"/>
  <c r="AC24" i="2"/>
  <c r="AD24" i="2" s="1"/>
  <c r="X24" i="2"/>
  <c r="H24" i="2"/>
  <c r="M24" i="2" s="1"/>
  <c r="AC23" i="2"/>
  <c r="AD23" i="2" s="1"/>
  <c r="X23" i="2"/>
  <c r="H23" i="2"/>
  <c r="J23" i="2" s="1"/>
  <c r="AC22" i="2"/>
  <c r="AD22" i="2" s="1"/>
  <c r="X22" i="2"/>
  <c r="H22" i="2"/>
  <c r="J22" i="2" s="1"/>
  <c r="AC21" i="2"/>
  <c r="AD21" i="2" s="1"/>
  <c r="X21" i="2"/>
  <c r="H21" i="2"/>
  <c r="J21" i="2" s="1"/>
  <c r="AC20" i="2"/>
  <c r="AD20" i="2" s="1"/>
  <c r="X20" i="2"/>
  <c r="H20" i="2"/>
  <c r="J20" i="2" s="1"/>
  <c r="AC19" i="2"/>
  <c r="AD19" i="2" s="1"/>
  <c r="X19" i="2"/>
  <c r="H19" i="2"/>
  <c r="M19" i="2" s="1"/>
  <c r="AC18" i="2"/>
  <c r="AD18" i="2" s="1"/>
  <c r="X18" i="2"/>
  <c r="H18" i="2"/>
  <c r="J18" i="2" s="1"/>
  <c r="AC17" i="2"/>
  <c r="AD17" i="2" s="1"/>
  <c r="X17" i="2"/>
  <c r="H17" i="2"/>
  <c r="M17" i="2" s="1"/>
  <c r="AC16" i="2"/>
  <c r="AD16" i="2" s="1"/>
  <c r="X16" i="2"/>
  <c r="H16" i="2"/>
  <c r="M16" i="2" s="1"/>
  <c r="AC15" i="2"/>
  <c r="AD15" i="2" s="1"/>
  <c r="X15" i="2"/>
  <c r="H15" i="2"/>
  <c r="J15" i="2" s="1"/>
  <c r="AC14" i="2"/>
  <c r="AD14" i="2" s="1"/>
  <c r="X14" i="2"/>
  <c r="H14" i="2"/>
  <c r="J14" i="2" s="1"/>
  <c r="AC13" i="2"/>
  <c r="AD13" i="2" s="1"/>
  <c r="X13" i="2"/>
  <c r="H13" i="2"/>
  <c r="J13" i="2" s="1"/>
  <c r="AC12" i="2"/>
  <c r="AD12" i="2" s="1"/>
  <c r="X12" i="2"/>
  <c r="H12" i="2"/>
  <c r="M12" i="2" s="1"/>
  <c r="AC11" i="2"/>
  <c r="AD11" i="2" s="1"/>
  <c r="X11" i="2"/>
  <c r="H11" i="2"/>
  <c r="M11" i="2" s="1"/>
  <c r="AC10" i="2"/>
  <c r="AD10" i="2" s="1"/>
  <c r="H10" i="2"/>
  <c r="M10" i="2" s="1"/>
  <c r="AC9" i="2"/>
  <c r="AD9" i="2" s="1"/>
  <c r="H9" i="2"/>
  <c r="M9" i="2" s="1"/>
  <c r="AC8" i="2"/>
  <c r="AD8" i="2" s="1"/>
  <c r="H8" i="2"/>
  <c r="M8" i="2" s="1"/>
  <c r="AC7" i="2"/>
  <c r="AD7" i="2" s="1"/>
  <c r="H7" i="2"/>
  <c r="AC6" i="2"/>
  <c r="H6" i="2"/>
  <c r="M6" i="2" s="1"/>
  <c r="AC36" i="1"/>
  <c r="AB36" i="1"/>
  <c r="AA36" i="1"/>
  <c r="Z36" i="1"/>
  <c r="W36" i="1"/>
  <c r="V36" i="1"/>
  <c r="U36" i="1"/>
  <c r="T36" i="1"/>
  <c r="S36" i="1"/>
  <c r="Q36" i="1"/>
  <c r="P36" i="1"/>
  <c r="N36" i="1"/>
  <c r="L36" i="1"/>
  <c r="K36" i="1"/>
  <c r="I36" i="1"/>
  <c r="F36" i="1"/>
  <c r="D36" i="1"/>
  <c r="AD35" i="1"/>
  <c r="AE35" i="1" s="1"/>
  <c r="Y35" i="1"/>
  <c r="X35" i="1"/>
  <c r="H35" i="1"/>
  <c r="M35" i="1" s="1"/>
  <c r="AE34" i="1"/>
  <c r="AD34" i="1"/>
  <c r="Y34" i="1"/>
  <c r="X34" i="1"/>
  <c r="H34" i="1"/>
  <c r="J34" i="1" s="1"/>
  <c r="AD33" i="1"/>
  <c r="AE33" i="1" s="1"/>
  <c r="Y33" i="1"/>
  <c r="X33" i="1"/>
  <c r="M33" i="1"/>
  <c r="J33" i="1"/>
  <c r="H33" i="1"/>
  <c r="AD32" i="1"/>
  <c r="AE32" i="1" s="1"/>
  <c r="Y32" i="1"/>
  <c r="X32" i="1"/>
  <c r="M32" i="1"/>
  <c r="J32" i="1"/>
  <c r="H32" i="1"/>
  <c r="AD31" i="1"/>
  <c r="AE31" i="1" s="1"/>
  <c r="Y31" i="1"/>
  <c r="X31" i="1"/>
  <c r="H31" i="1"/>
  <c r="M31" i="1" s="1"/>
  <c r="AD30" i="1"/>
  <c r="AE30" i="1" s="1"/>
  <c r="Y30" i="1"/>
  <c r="X30" i="1"/>
  <c r="M30" i="1"/>
  <c r="H30" i="1"/>
  <c r="J30" i="1" s="1"/>
  <c r="AD29" i="1"/>
  <c r="AE29" i="1" s="1"/>
  <c r="Y29" i="1"/>
  <c r="X29" i="1"/>
  <c r="M29" i="1"/>
  <c r="H29" i="1"/>
  <c r="J29" i="1" s="1"/>
  <c r="AD28" i="1"/>
  <c r="AE28" i="1" s="1"/>
  <c r="Y28" i="1"/>
  <c r="X28" i="1"/>
  <c r="H28" i="1"/>
  <c r="J28" i="1" s="1"/>
  <c r="AD27" i="1"/>
  <c r="AE27" i="1" s="1"/>
  <c r="Y27" i="1"/>
  <c r="X27" i="1"/>
  <c r="H27" i="1"/>
  <c r="M27" i="1" s="1"/>
  <c r="AD26" i="1"/>
  <c r="AE26" i="1" s="1"/>
  <c r="Y26" i="1"/>
  <c r="X26" i="1"/>
  <c r="H26" i="1"/>
  <c r="J26" i="1" s="1"/>
  <c r="AD25" i="1"/>
  <c r="AE25" i="1" s="1"/>
  <c r="Y25" i="1"/>
  <c r="X25" i="1"/>
  <c r="M25" i="1"/>
  <c r="J25" i="1"/>
  <c r="H25" i="1"/>
  <c r="AD24" i="1"/>
  <c r="AE24" i="1" s="1"/>
  <c r="Y24" i="1"/>
  <c r="X24" i="1"/>
  <c r="H24" i="1"/>
  <c r="M24" i="1" s="1"/>
  <c r="AD23" i="1"/>
  <c r="AE23" i="1" s="1"/>
  <c r="Y23" i="1"/>
  <c r="X23" i="1"/>
  <c r="H23" i="1"/>
  <c r="M23" i="1" s="1"/>
  <c r="AD22" i="1"/>
  <c r="AE22" i="1" s="1"/>
  <c r="Y22" i="1"/>
  <c r="X22" i="1"/>
  <c r="H22" i="1"/>
  <c r="J22" i="1" s="1"/>
  <c r="AD21" i="1"/>
  <c r="AE21" i="1" s="1"/>
  <c r="Y21" i="1"/>
  <c r="X21" i="1"/>
  <c r="H21" i="1"/>
  <c r="M21" i="1" s="1"/>
  <c r="AD20" i="1"/>
  <c r="AE20" i="1" s="1"/>
  <c r="Y20" i="1"/>
  <c r="X20" i="1"/>
  <c r="H20" i="1"/>
  <c r="M20" i="1" s="1"/>
  <c r="AD19" i="1"/>
  <c r="AE19" i="1" s="1"/>
  <c r="Y19" i="1"/>
  <c r="X19" i="1"/>
  <c r="H19" i="1"/>
  <c r="M19" i="1" s="1"/>
  <c r="AE18" i="1"/>
  <c r="AD18" i="1"/>
  <c r="Y18" i="1"/>
  <c r="X18" i="1"/>
  <c r="M18" i="1"/>
  <c r="H18" i="1"/>
  <c r="J18" i="1" s="1"/>
  <c r="AD17" i="1"/>
  <c r="AE17" i="1" s="1"/>
  <c r="Y17" i="1"/>
  <c r="X17" i="1"/>
  <c r="H17" i="1"/>
  <c r="M17" i="1" s="1"/>
  <c r="AD16" i="1"/>
  <c r="AE16" i="1" s="1"/>
  <c r="Y16" i="1"/>
  <c r="X16" i="1"/>
  <c r="M16" i="1"/>
  <c r="J16" i="1"/>
  <c r="H16" i="1"/>
  <c r="AD15" i="1"/>
  <c r="AE15" i="1" s="1"/>
  <c r="Y15" i="1"/>
  <c r="X15" i="1"/>
  <c r="H15" i="1"/>
  <c r="M15" i="1" s="1"/>
  <c r="AD14" i="1"/>
  <c r="AE14" i="1" s="1"/>
  <c r="Y14" i="1"/>
  <c r="X14" i="1"/>
  <c r="H14" i="1"/>
  <c r="J14" i="1" s="1"/>
  <c r="AE13" i="1"/>
  <c r="AD13" i="1"/>
  <c r="Y13" i="1"/>
  <c r="X13" i="1"/>
  <c r="M13" i="1"/>
  <c r="J13" i="1"/>
  <c r="H13" i="1"/>
  <c r="AD12" i="1"/>
  <c r="AE12" i="1" s="1"/>
  <c r="Y12" i="1"/>
  <c r="X12" i="1"/>
  <c r="H12" i="1"/>
  <c r="M12" i="1" s="1"/>
  <c r="AD11" i="1"/>
  <c r="AE11" i="1" s="1"/>
  <c r="Y11" i="1"/>
  <c r="X11" i="1"/>
  <c r="H11" i="1"/>
  <c r="M11" i="1" s="1"/>
  <c r="AD10" i="1"/>
  <c r="AE10" i="1" s="1"/>
  <c r="Y10" i="1"/>
  <c r="X10" i="1"/>
  <c r="H10" i="1"/>
  <c r="J10" i="1" s="1"/>
  <c r="AD9" i="1"/>
  <c r="AE9" i="1" s="1"/>
  <c r="Y9" i="1"/>
  <c r="X9" i="1"/>
  <c r="M9" i="1"/>
  <c r="H9" i="1"/>
  <c r="J9" i="1" s="1"/>
  <c r="AD8" i="1"/>
  <c r="Y8" i="1"/>
  <c r="X8" i="1"/>
  <c r="H8" i="1"/>
  <c r="M8" i="1" s="1"/>
  <c r="AD7" i="1"/>
  <c r="AE7" i="1" s="1"/>
  <c r="Y7" i="1"/>
  <c r="X7" i="1"/>
  <c r="H7" i="1"/>
  <c r="M7" i="1" s="1"/>
  <c r="AE6" i="1"/>
  <c r="AD6" i="1"/>
  <c r="Y6" i="1"/>
  <c r="Y36" i="1" s="1"/>
  <c r="X6" i="1"/>
  <c r="X36" i="1" s="1"/>
  <c r="H6" i="1"/>
  <c r="J6" i="1" s="1"/>
  <c r="M24" i="3" l="1"/>
  <c r="J24" i="3"/>
  <c r="M16" i="14"/>
  <c r="G18" i="14"/>
  <c r="AD17" i="3"/>
  <c r="AC34" i="3"/>
  <c r="O5" i="14" s="1"/>
  <c r="E16" i="14"/>
  <c r="M8" i="3"/>
  <c r="J16" i="3"/>
  <c r="M31" i="2"/>
  <c r="M26" i="2"/>
  <c r="AD6" i="2"/>
  <c r="AD37" i="2" s="1"/>
  <c r="AC38" i="2"/>
  <c r="O4" i="14" s="1"/>
  <c r="G16" i="14"/>
  <c r="E18" i="14"/>
  <c r="H4" i="14"/>
  <c r="M25" i="2"/>
  <c r="M18" i="2"/>
  <c r="M15" i="2"/>
  <c r="M6" i="13"/>
  <c r="M14" i="13"/>
  <c r="M22" i="13"/>
  <c r="M30" i="13"/>
  <c r="M35" i="13"/>
  <c r="X36" i="13"/>
  <c r="M9" i="12"/>
  <c r="M33" i="12"/>
  <c r="H36" i="12"/>
  <c r="M36" i="12" s="1"/>
  <c r="M25" i="12"/>
  <c r="X36" i="12"/>
  <c r="J8" i="12"/>
  <c r="Y36" i="12"/>
  <c r="M17" i="12"/>
  <c r="M13" i="12"/>
  <c r="M21" i="12"/>
  <c r="Y36" i="11"/>
  <c r="J8" i="11"/>
  <c r="M17" i="11"/>
  <c r="J22" i="11"/>
  <c r="M31" i="11"/>
  <c r="AD36" i="11"/>
  <c r="J27" i="11"/>
  <c r="M33" i="11"/>
  <c r="J11" i="11"/>
  <c r="M7" i="11"/>
  <c r="J35" i="11"/>
  <c r="X36" i="11"/>
  <c r="M15" i="11"/>
  <c r="J32" i="11"/>
  <c r="AD36" i="10"/>
  <c r="M21" i="10"/>
  <c r="M14" i="10"/>
  <c r="X36" i="10"/>
  <c r="Y36" i="10"/>
  <c r="M7" i="9"/>
  <c r="J16" i="9"/>
  <c r="M27" i="9"/>
  <c r="M35" i="9"/>
  <c r="H36" i="9"/>
  <c r="M36" i="9" s="1"/>
  <c r="X36" i="9"/>
  <c r="J18" i="9"/>
  <c r="J6" i="9"/>
  <c r="M15" i="9"/>
  <c r="J34" i="9"/>
  <c r="M6" i="9"/>
  <c r="Y36" i="9"/>
  <c r="M11" i="9"/>
  <c r="J36" i="9"/>
  <c r="AD36" i="9"/>
  <c r="J8" i="9"/>
  <c r="X36" i="8"/>
  <c r="J23" i="8"/>
  <c r="M29" i="8"/>
  <c r="AE36" i="8"/>
  <c r="J31" i="8"/>
  <c r="J36" i="8"/>
  <c r="J7" i="8"/>
  <c r="M13" i="8"/>
  <c r="J24" i="8"/>
  <c r="Y36" i="8"/>
  <c r="J15" i="8"/>
  <c r="M21" i="8"/>
  <c r="H36" i="8"/>
  <c r="M36" i="8" s="1"/>
  <c r="M13" i="7"/>
  <c r="Y36" i="7"/>
  <c r="J12" i="7"/>
  <c r="J16" i="7"/>
  <c r="J28" i="7"/>
  <c r="J32" i="7"/>
  <c r="J10" i="7"/>
  <c r="J26" i="7"/>
  <c r="X36" i="7"/>
  <c r="J31" i="7"/>
  <c r="J18" i="7"/>
  <c r="J34" i="7"/>
  <c r="M29" i="7"/>
  <c r="X36" i="6"/>
  <c r="H36" i="6"/>
  <c r="M36" i="6" s="1"/>
  <c r="J11" i="6"/>
  <c r="J35" i="6"/>
  <c r="X36" i="5"/>
  <c r="M8" i="5"/>
  <c r="J14" i="5"/>
  <c r="J28" i="5"/>
  <c r="AD36" i="5"/>
  <c r="M13" i="5"/>
  <c r="J22" i="5"/>
  <c r="M33" i="5"/>
  <c r="J24" i="5"/>
  <c r="Y36" i="5"/>
  <c r="J30" i="5"/>
  <c r="M17" i="5"/>
  <c r="M9" i="5"/>
  <c r="X36" i="4"/>
  <c r="M27" i="4"/>
  <c r="M30" i="4"/>
  <c r="M6" i="4"/>
  <c r="J29" i="4"/>
  <c r="M35" i="4"/>
  <c r="J34" i="4"/>
  <c r="Y36" i="4"/>
  <c r="AD36" i="4"/>
  <c r="J31" i="4"/>
  <c r="M33" i="3"/>
  <c r="H34" i="3"/>
  <c r="J12" i="3"/>
  <c r="J28" i="3"/>
  <c r="M17" i="3"/>
  <c r="M25" i="3"/>
  <c r="X34" i="3"/>
  <c r="J32" i="3"/>
  <c r="J20" i="3"/>
  <c r="M9" i="3"/>
  <c r="M13" i="3"/>
  <c r="M21" i="3"/>
  <c r="M29" i="3"/>
  <c r="J8" i="1"/>
  <c r="J17" i="1"/>
  <c r="M26" i="1"/>
  <c r="M34" i="1"/>
  <c r="AD36" i="1"/>
  <c r="M10" i="1"/>
  <c r="J21" i="1"/>
  <c r="J24" i="1"/>
  <c r="J35" i="2"/>
  <c r="M34" i="2"/>
  <c r="J7" i="2"/>
  <c r="M7" i="2"/>
  <c r="J33" i="2"/>
  <c r="J10" i="2"/>
  <c r="X37" i="2"/>
  <c r="I18" i="14"/>
  <c r="K38" i="14"/>
  <c r="M18" i="14"/>
  <c r="J16" i="14"/>
  <c r="I16" i="14"/>
  <c r="J6" i="2"/>
  <c r="J17" i="2"/>
  <c r="J9" i="2"/>
  <c r="M14" i="2"/>
  <c r="M22" i="2"/>
  <c r="AC37" i="2"/>
  <c r="H37" i="2"/>
  <c r="J37" i="2" s="1"/>
  <c r="F4" i="14" s="1"/>
  <c r="M23" i="2"/>
  <c r="J30" i="2"/>
  <c r="J36" i="13"/>
  <c r="AE36" i="13"/>
  <c r="J12" i="13"/>
  <c r="J20" i="13"/>
  <c r="J28" i="13"/>
  <c r="H36" i="13"/>
  <c r="M36" i="13" s="1"/>
  <c r="J9" i="13"/>
  <c r="J25" i="13"/>
  <c r="J8" i="13"/>
  <c r="J16" i="13"/>
  <c r="M17" i="13"/>
  <c r="J24" i="13"/>
  <c r="J32" i="13"/>
  <c r="M33" i="13"/>
  <c r="J7" i="13"/>
  <c r="J15" i="13"/>
  <c r="J23" i="13"/>
  <c r="J31" i="13"/>
  <c r="AD36" i="13"/>
  <c r="J36" i="12"/>
  <c r="AE36" i="12"/>
  <c r="J7" i="12"/>
  <c r="J15" i="12"/>
  <c r="J23" i="12"/>
  <c r="J31" i="12"/>
  <c r="AD36" i="12"/>
  <c r="J6" i="12"/>
  <c r="J14" i="12"/>
  <c r="J22" i="12"/>
  <c r="J30" i="12"/>
  <c r="M6" i="12"/>
  <c r="J11" i="12"/>
  <c r="J10" i="12"/>
  <c r="J18" i="12"/>
  <c r="M19" i="12"/>
  <c r="J26" i="12"/>
  <c r="M27" i="12"/>
  <c r="J34" i="12"/>
  <c r="M35" i="12"/>
  <c r="J13" i="11"/>
  <c r="J12" i="11"/>
  <c r="J20" i="11"/>
  <c r="M21" i="11"/>
  <c r="J28" i="11"/>
  <c r="M29" i="11"/>
  <c r="H36" i="11"/>
  <c r="M36" i="11" s="1"/>
  <c r="J10" i="11"/>
  <c r="J18" i="11"/>
  <c r="J26" i="11"/>
  <c r="J34" i="11"/>
  <c r="AE6" i="11"/>
  <c r="AE36" i="11" s="1"/>
  <c r="J11" i="10"/>
  <c r="J19" i="10"/>
  <c r="J27" i="10"/>
  <c r="H36" i="10"/>
  <c r="M36" i="10" s="1"/>
  <c r="J18" i="10"/>
  <c r="J34" i="10"/>
  <c r="M10" i="10"/>
  <c r="J17" i="10"/>
  <c r="M26" i="10"/>
  <c r="J8" i="10"/>
  <c r="M9" i="10"/>
  <c r="J16" i="10"/>
  <c r="J24" i="10"/>
  <c r="M25" i="10"/>
  <c r="J32" i="10"/>
  <c r="M33" i="10"/>
  <c r="J12" i="10"/>
  <c r="J20" i="10"/>
  <c r="J28" i="10"/>
  <c r="J35" i="10"/>
  <c r="AE6" i="10"/>
  <c r="AE36" i="10" s="1"/>
  <c r="J7" i="10"/>
  <c r="J15" i="10"/>
  <c r="J23" i="10"/>
  <c r="J31" i="10"/>
  <c r="J12" i="9"/>
  <c r="M13" i="9"/>
  <c r="J20" i="9"/>
  <c r="M21" i="9"/>
  <c r="J28" i="9"/>
  <c r="M29" i="9"/>
  <c r="AE6" i="9"/>
  <c r="AE36" i="9" s="1"/>
  <c r="J9" i="9"/>
  <c r="J17" i="9"/>
  <c r="J25" i="9"/>
  <c r="J33" i="9"/>
  <c r="J24" i="9"/>
  <c r="J32" i="9"/>
  <c r="AD36" i="8"/>
  <c r="J6" i="8"/>
  <c r="J14" i="8"/>
  <c r="J22" i="8"/>
  <c r="J30" i="8"/>
  <c r="M6" i="8"/>
  <c r="J27" i="8"/>
  <c r="J35" i="8"/>
  <c r="J10" i="8"/>
  <c r="M11" i="8"/>
  <c r="J18" i="8"/>
  <c r="M19" i="8"/>
  <c r="J26" i="8"/>
  <c r="J34" i="8"/>
  <c r="J33" i="8"/>
  <c r="AE36" i="7"/>
  <c r="AD36" i="7"/>
  <c r="M6" i="7"/>
  <c r="M14" i="7"/>
  <c r="M22" i="7"/>
  <c r="M30" i="7"/>
  <c r="J11" i="7"/>
  <c r="J19" i="7"/>
  <c r="J27" i="7"/>
  <c r="J35" i="7"/>
  <c r="H36" i="7"/>
  <c r="M36" i="7" s="1"/>
  <c r="J9" i="7"/>
  <c r="J17" i="7"/>
  <c r="J25" i="7"/>
  <c r="J33" i="7"/>
  <c r="AE36" i="6"/>
  <c r="J36" i="6"/>
  <c r="J7" i="6"/>
  <c r="J31" i="6"/>
  <c r="J14" i="6"/>
  <c r="M23" i="6"/>
  <c r="J30" i="6"/>
  <c r="M6" i="6"/>
  <c r="J13" i="6"/>
  <c r="J21" i="6"/>
  <c r="M22" i="6"/>
  <c r="J29" i="6"/>
  <c r="J12" i="6"/>
  <c r="J20" i="6"/>
  <c r="J28" i="6"/>
  <c r="AD36" i="6"/>
  <c r="J6" i="6"/>
  <c r="M15" i="6"/>
  <c r="J10" i="6"/>
  <c r="J18" i="6"/>
  <c r="J26" i="6"/>
  <c r="J34" i="6"/>
  <c r="M7" i="5"/>
  <c r="M15" i="5"/>
  <c r="M23" i="5"/>
  <c r="M31" i="5"/>
  <c r="J11" i="5"/>
  <c r="J35" i="5"/>
  <c r="J10" i="5"/>
  <c r="J18" i="5"/>
  <c r="M19" i="5"/>
  <c r="J26" i="5"/>
  <c r="M27" i="5"/>
  <c r="J34" i="5"/>
  <c r="H36" i="5"/>
  <c r="M36" i="5" s="1"/>
  <c r="AE6" i="5"/>
  <c r="AE36" i="5" s="1"/>
  <c r="J28" i="4"/>
  <c r="J12" i="4"/>
  <c r="J20" i="4"/>
  <c r="H36" i="4"/>
  <c r="M36" i="4" s="1"/>
  <c r="J25" i="4"/>
  <c r="J33" i="4"/>
  <c r="AE6" i="4"/>
  <c r="AE36" i="4" s="1"/>
  <c r="J8" i="4"/>
  <c r="M9" i="4"/>
  <c r="J16" i="4"/>
  <c r="M17" i="4"/>
  <c r="J24" i="4"/>
  <c r="J32" i="4"/>
  <c r="AD34" i="3"/>
  <c r="J7" i="3"/>
  <c r="J15" i="3"/>
  <c r="J23" i="3"/>
  <c r="J31" i="3"/>
  <c r="J6" i="3"/>
  <c r="J14" i="3"/>
  <c r="J22" i="3"/>
  <c r="J30" i="3"/>
  <c r="M6" i="3"/>
  <c r="J11" i="3"/>
  <c r="J10" i="3"/>
  <c r="J18" i="3"/>
  <c r="M19" i="3"/>
  <c r="J26" i="3"/>
  <c r="M27" i="3"/>
  <c r="J12" i="2"/>
  <c r="M21" i="2"/>
  <c r="J28" i="2"/>
  <c r="J11" i="2"/>
  <c r="J19" i="2"/>
  <c r="M20" i="2"/>
  <c r="J27" i="2"/>
  <c r="J36" i="2"/>
  <c r="J29" i="2"/>
  <c r="M13" i="2"/>
  <c r="J8" i="2"/>
  <c r="J16" i="2"/>
  <c r="J24" i="2"/>
  <c r="J32" i="2"/>
  <c r="M6" i="1"/>
  <c r="J12" i="1"/>
  <c r="J20" i="1"/>
  <c r="AE8" i="1"/>
  <c r="AE36" i="1" s="1"/>
  <c r="J11" i="1"/>
  <c r="J19" i="1"/>
  <c r="J27" i="1"/>
  <c r="M28" i="1"/>
  <c r="J35" i="1"/>
  <c r="H36" i="1"/>
  <c r="M36" i="1" s="1"/>
  <c r="J7" i="1"/>
  <c r="J15" i="1"/>
  <c r="M14" i="1"/>
  <c r="M22" i="1"/>
  <c r="J23" i="1"/>
  <c r="J31" i="1"/>
  <c r="M34" i="3" l="1"/>
  <c r="F5" i="14" s="1"/>
  <c r="F16" i="14" s="1"/>
  <c r="D5" i="14"/>
  <c r="J34" i="3"/>
  <c r="J36" i="10"/>
  <c r="H38" i="14"/>
  <c r="G38" i="14"/>
  <c r="F38" i="14"/>
  <c r="E38" i="14"/>
  <c r="M37" i="2"/>
  <c r="J36" i="11"/>
  <c r="J36" i="7"/>
  <c r="J36" i="5"/>
  <c r="J36" i="4"/>
  <c r="J36" i="1"/>
  <c r="F18" i="14" l="1"/>
  <c r="H5" i="14"/>
  <c r="D16" i="14"/>
  <c r="D18" i="14"/>
  <c r="D20" i="14" s="1"/>
  <c r="H16" i="14" l="1"/>
  <c r="H18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089894B1-4F05-40EF-9C3C-6E8BC60DFB0F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271FD6D8-44BA-4625-B17A-BD729677CB91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2FD3867B-A2A5-4E28-ADA1-EB7334929A39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43242099-F223-4E91-9F40-790CB379934B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38038D59-113B-4040-BC8D-203BE9CF79C6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31DA3324-FB7A-4190-B5F8-72323B6341C9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2CD60CE1-EE78-428B-B70A-5D2320CC36D9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65B66992-4F5E-49D6-A3EF-3952377E4469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6E01B40B-1874-4BDE-8A65-F8D55F145037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58E1C9B6-DE18-4652-BAC6-C98932388F6A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A78CF897-5F66-45D6-BD81-35322A160F1C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FA3CAAAB-666A-4795-B1AE-DA4288E7F933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772E271E-6B7E-41B6-B460-739CFA21C095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E28C694A-5ECC-4BE7-B46B-2C78CA5BC7E7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8A571A2C-3D1D-4E3E-8154-230D92D826A0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0698971B-8799-4489-ACFD-5AD454F48883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99DD4069-A7B4-4A89-BD4C-B1A83811DF9C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B24D2E15-930C-44D0-A62D-C2320F26B155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B134B39E-00D7-481B-A62D-5825F18F691D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FBA404E1-2CF0-41FC-A8C2-779E8B7839A6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AEF39802-6956-4D90-9333-2E9E2A23279B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51D6C588-CDA9-4F7A-B4A7-5FC23D4CB462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4A5D1A5A-9E6C-4338-AB83-B34367120A15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62E07D47-E935-41DF-87D5-616F635972A9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69214FC7-B036-42D1-A540-E29846F6E6D7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E5B3FA83-210B-4496-85F3-5FD5E7BF96EE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99D63B52-B083-4628-882F-091B89D6BF60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9DEB8270-381A-40A4-8861-E36D6980936A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9F8A0B0A-601B-47BA-9927-A3D28C44476F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020614C9-30EA-4093-8298-F2C492B9A49C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C41AE2B0-0EFE-42A2-AE1C-00D4CBDDE55B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1574BFFF-8F42-4317-A1F3-D7654E5D1810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209535C3-0D39-47DC-8C6B-27CE839568E2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Waller</author>
  </authors>
  <commentList>
    <comment ref="Q24" authorId="0" shapeId="0" xr:uid="{3BD25D00-9E7B-4756-B72C-554D9B4F6F37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5" authorId="0" shapeId="0" xr:uid="{D52346B5-3EE9-4999-8949-1ED838062B28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  <comment ref="Q26" authorId="0" shapeId="0" xr:uid="{3181AD1B-60DE-4528-B4E9-065F3B0B5CE4}">
      <text>
        <r>
          <rPr>
            <b/>
            <sz val="9"/>
            <color indexed="81"/>
            <rFont val="Tahoma"/>
            <family val="2"/>
          </rPr>
          <t>Brandon Waller:</t>
        </r>
        <r>
          <rPr>
            <sz val="9"/>
            <color indexed="81"/>
            <rFont val="Tahoma"/>
            <family val="2"/>
          </rPr>
          <t xml:space="preserve">
trailers</t>
        </r>
      </text>
    </comment>
  </commentList>
</comments>
</file>

<file path=xl/sharedStrings.xml><?xml version="1.0" encoding="utf-8"?>
<sst xmlns="http://schemas.openxmlformats.org/spreadsheetml/2006/main" count="570" uniqueCount="83">
  <si>
    <t>Fronts Total</t>
  </si>
  <si>
    <t>Backs Total</t>
  </si>
  <si>
    <t>Date</t>
  </si>
  <si>
    <t>Loading Total</t>
  </si>
  <si>
    <t>Fronts Crew</t>
  </si>
  <si>
    <t>Backs Crew</t>
  </si>
  <si>
    <t>24 hr. Loaded Total</t>
  </si>
  <si>
    <t>Plant Production</t>
  </si>
  <si>
    <t>Delta to Inventory</t>
  </si>
  <si>
    <t>Drop</t>
  </si>
  <si>
    <t>DFS Loads</t>
  </si>
  <si>
    <t>Loaded vs. Drop</t>
  </si>
  <si>
    <t>Inventory</t>
  </si>
  <si>
    <t>Inventory Movement</t>
  </si>
  <si>
    <t>Late Loads</t>
  </si>
  <si>
    <t>Roll Over Loads</t>
  </si>
  <si>
    <t>Run-out</t>
  </si>
  <si>
    <t>Available Bins</t>
  </si>
  <si>
    <t>Bins Made</t>
  </si>
  <si>
    <t>Bin Cons</t>
  </si>
  <si>
    <t>Loading Teams</t>
  </si>
  <si>
    <t>Pickers</t>
  </si>
  <si>
    <t>NVP</t>
  </si>
  <si>
    <t>Un-received Pallets</t>
  </si>
  <si>
    <t>Total Tires</t>
  </si>
  <si>
    <t>Front Loads</t>
  </si>
  <si>
    <t>Back Loads</t>
  </si>
  <si>
    <t>Actual Load Drop</t>
  </si>
  <si>
    <t>Total Loads</t>
  </si>
  <si>
    <t>Delta</t>
  </si>
  <si>
    <t>Totals/Averages</t>
  </si>
  <si>
    <t>Health of the Inventory Tracker 2026</t>
  </si>
  <si>
    <t>Health of the Inventory Tracker February 2026</t>
  </si>
  <si>
    <t>Health of the Inventory Tracker March 2026</t>
  </si>
  <si>
    <t>Health of the Inventory Tracker April 2026</t>
  </si>
  <si>
    <t>Health of the Inventory Tracker May 2026</t>
  </si>
  <si>
    <t>Health of the Inventory Tracker June 2026</t>
  </si>
  <si>
    <t>Health of the Inventory Tracker July 2026</t>
  </si>
  <si>
    <t>Health of the Inventory Tracker August 2026</t>
  </si>
  <si>
    <t>Health of the Inventory Tracker September 2026</t>
  </si>
  <si>
    <t>Health of the Inventory Tracker October 2026</t>
  </si>
  <si>
    <t>Health of the Inventory Tracker November 2026</t>
  </si>
  <si>
    <t>Health of the Inventory Tracker December 2026</t>
  </si>
  <si>
    <t>Month</t>
  </si>
  <si>
    <t>Monthly Shipped Totals</t>
  </si>
  <si>
    <t>Shipped VS Drop</t>
  </si>
  <si>
    <t>Total DFS Tires Shipped</t>
  </si>
  <si>
    <t>Shipped w/DFS VS Drop</t>
  </si>
  <si>
    <t>Daily Loading Avg</t>
  </si>
  <si>
    <t>Days ran out of Work</t>
  </si>
  <si>
    <t>Adjusted Daily Avg.</t>
  </si>
  <si>
    <t>AVG Rollover</t>
  </si>
  <si>
    <t xml:space="preserve">Jan 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</si>
  <si>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</si>
  <si>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</si>
  <si>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</si>
  <si>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</si>
  <si>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</si>
  <si>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</si>
  <si>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</si>
  <si>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</si>
  <si>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</si>
  <si>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</si>
  <si>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</si>
  <si>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Avg.</t>
  </si>
  <si>
    <t>Total</t>
  </si>
  <si>
    <t>Difference</t>
  </si>
  <si>
    <t>LY</t>
  </si>
  <si>
    <t>CY</t>
  </si>
  <si>
    <t>Diff +/-</t>
  </si>
  <si>
    <t>Current Rate</t>
  </si>
  <si>
    <t>Furture Rate</t>
  </si>
  <si>
    <t>TRN LY</t>
  </si>
  <si>
    <t>TRN CY</t>
  </si>
  <si>
    <t>Diff</t>
  </si>
  <si>
    <t>AVG</t>
  </si>
  <si>
    <t>Totals</t>
  </si>
  <si>
    <t>W</t>
  </si>
  <si>
    <t>N</t>
  </si>
  <si>
    <t>X</t>
  </si>
  <si>
    <t>Y</t>
  </si>
  <si>
    <t>AVG Loads per Day</t>
  </si>
  <si>
    <t>KPI Tracker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</si>
</sst>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70C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86">
    <xf numFmtId="0" fontId="0" fillId="0" borderId="0" xfId="0"/>
    <xf numFmtId="0" fontId="0" fillId="0" borderId="6" xfId="0" applyBorder="1"/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3" fontId="3" fillId="6" borderId="6" xfId="0" applyNumberFormat="1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/>
    </xf>
    <xf numFmtId="165" fontId="8" fillId="0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37" fontId="0" fillId="0" borderId="6" xfId="1" applyNumberFormat="1" applyFont="1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37" fontId="0" fillId="0" borderId="6" xfId="1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0" fontId="0" fillId="8" borderId="6" xfId="0" applyFill="1" applyBorder="1" applyAlignment="1">
      <alignment horizontal="center"/>
    </xf>
    <xf numFmtId="165" fontId="0" fillId="8" borderId="6" xfId="1" applyNumberFormat="1" applyFont="1" applyFill="1" applyBorder="1" applyAlignment="1"/>
    <xf numFmtId="37" fontId="0" fillId="8" borderId="6" xfId="1" applyNumberFormat="1" applyFont="1" applyFill="1" applyBorder="1" applyAlignment="1">
      <alignment horizontal="center"/>
    </xf>
    <xf numFmtId="3" fontId="0" fillId="8" borderId="6" xfId="0" applyNumberFormat="1" applyFill="1" applyBorder="1" applyAlignment="1">
      <alignment horizontal="center"/>
    </xf>
    <xf numFmtId="0" fontId="0" fillId="8" borderId="6" xfId="1" applyNumberFormat="1" applyFont="1" applyFill="1" applyBorder="1" applyAlignment="1">
      <alignment horizontal="center"/>
    </xf>
    <xf numFmtId="1" fontId="0" fillId="8" borderId="6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44" fontId="0" fillId="0" borderId="6" xfId="2" applyFont="1" applyBorder="1" applyAlignment="1">
      <alignment horizontal="center"/>
    </xf>
    <xf numFmtId="165" fontId="0" fillId="0" borderId="17" xfId="1" applyNumberFormat="1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0" fillId="0" borderId="19" xfId="0" applyBorder="1" applyAlignment="1">
      <alignment horizontal="center"/>
    </xf>
    <xf numFmtId="3" fontId="0" fillId="9" borderId="20" xfId="0" applyNumberFormat="1" applyFill="1" applyBorder="1" applyAlignment="1">
      <alignment horizontal="center"/>
    </xf>
    <xf numFmtId="3" fontId="0" fillId="9" borderId="6" xfId="0" applyNumberFormat="1" applyFill="1" applyBorder="1" applyAlignment="1">
      <alignment horizontal="center"/>
    </xf>
    <xf numFmtId="44" fontId="0" fillId="9" borderId="6" xfId="2" applyFont="1" applyFill="1" applyBorder="1" applyAlignment="1">
      <alignment horizontal="center"/>
    </xf>
    <xf numFmtId="165" fontId="0" fillId="9" borderId="20" xfId="1" applyNumberFormat="1" applyFont="1" applyFill="1" applyBorder="1" applyAlignment="1">
      <alignment horizontal="center"/>
    </xf>
    <xf numFmtId="165" fontId="0" fillId="9" borderId="21" xfId="1" applyNumberFormat="1" applyFont="1" applyFill="1" applyBorder="1" applyAlignment="1">
      <alignment horizontal="center"/>
    </xf>
    <xf numFmtId="165" fontId="0" fillId="9" borderId="18" xfId="1" applyNumberFormat="1" applyFont="1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3" fontId="0" fillId="10" borderId="23" xfId="0" applyNumberFormat="1" applyFill="1" applyBorder="1" applyAlignment="1">
      <alignment horizontal="center"/>
    </xf>
    <xf numFmtId="44" fontId="0" fillId="10" borderId="23" xfId="2" applyFont="1" applyFill="1" applyBorder="1" applyAlignment="1">
      <alignment horizontal="center"/>
    </xf>
    <xf numFmtId="3" fontId="0" fillId="10" borderId="24" xfId="0" applyNumberFormat="1" applyFill="1" applyBorder="1" applyAlignment="1">
      <alignment horizontal="center"/>
    </xf>
    <xf numFmtId="165" fontId="0" fillId="10" borderId="25" xfId="1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/>
    </xf>
    <xf numFmtId="3" fontId="3" fillId="11" borderId="6" xfId="0" applyNumberFormat="1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1" fontId="3" fillId="11" borderId="6" xfId="0" applyNumberFormat="1" applyFont="1" applyFill="1" applyBorder="1" applyAlignment="1">
      <alignment horizontal="center" vertical="center"/>
    </xf>
    <xf numFmtId="3" fontId="4" fillId="11" borderId="6" xfId="0" applyNumberFormat="1" applyFont="1" applyFill="1" applyBorder="1" applyAlignment="1">
      <alignment horizontal="center" vertical="center"/>
    </xf>
    <xf numFmtId="1" fontId="4" fillId="11" borderId="6" xfId="0" applyNumberFormat="1" applyFont="1" applyFill="1" applyBorder="1" applyAlignment="1">
      <alignment horizontal="center" vertical="center"/>
    </xf>
    <xf numFmtId="3" fontId="3" fillId="12" borderId="6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7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rgb="FF9999FF"/>
          </stop>
          <stop position="1">
            <color rgb="FF9966FF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794809C-CC1B-47E7-BA3B-4CA577CB5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86769" y="2103666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219756</xdr:colOff>
      <xdr:row>2</xdr:row>
      <xdr:rowOff>170091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E91F360-6588-4503-9476-D10BCA7779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505756" y="2098904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A12F5E8-1C58-4929-BE71-B102180A0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74AE448-9CFF-4D2D-86B3-5B64E22B3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1B6ACAB-245A-410E-8CC0-07F1E148F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D9DE7B6-E2E3-496E-851C-6B2519DDA8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E81B3ED-92A5-4340-87A7-5CCEE69FA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16FF0A1-9350-421B-97B8-0C54D027E9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3549BC2-D1EB-49EE-8D1A-4A892A629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EA72962-A2E4-4ED2-A79B-47D563288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B06CD38-A997-403F-BE55-5A42EE88C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F87630F-DA12-45DA-ABFF-A94F424D64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700769</xdr:colOff>
      <xdr:row>2</xdr:row>
      <xdr:rowOff>174853</xdr:rowOff>
    </xdr:from>
    <xdr:ext cx="3347356" cy="896709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0737442-790B-4EE4-A5A1-7586D4D5CF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996294" y="2108428"/>
          <a:ext cx="3347356" cy="89670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ECAD-D690-425F-BC70-A127137B6953}">
  <sheetPr>
    <tabColor theme="4" tint="0.39997558519241921"/>
  </sheetPr>
  <dimension ref="B1:AF38"/>
  <sheetViews>
    <sheetView zoomScale="55" zoomScaleNormal="55" workbookViewId="0">
      <selection sqref="A1:XFD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31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725" priority="10" operator="lessThan">
      <formula>15499</formula>
    </cfRule>
    <cfRule type="cellIs" dxfId="724" priority="11" operator="greaterThan">
      <formula>15501</formula>
    </cfRule>
  </conditionalFormatting>
  <conditionalFormatting sqref="E6:E35 G6:G35">
    <cfRule type="containsText" dxfId="723" priority="24" operator="containsText" text="2">
      <formula>NOT(ISERROR(SEARCH("2",E6)))</formula>
    </cfRule>
    <cfRule type="containsText" dxfId="722" priority="25" operator="containsText" text="1">
      <formula>NOT(ISERROR(SEARCH("1",E6)))</formula>
    </cfRule>
    <cfRule type="containsText" dxfId="721" priority="22" operator="containsText" text="4">
      <formula>NOT(ISERROR(SEARCH("4",E6)))</formula>
    </cfRule>
    <cfRule type="containsText" dxfId="720" priority="23" operator="containsText" text="3">
      <formula>NOT(ISERROR(SEARCH("3",E6)))</formula>
    </cfRule>
  </conditionalFormatting>
  <conditionalFormatting sqref="F6:F35">
    <cfRule type="cellIs" dxfId="719" priority="34" operator="lessThan">
      <formula>12799</formula>
    </cfRule>
    <cfRule type="cellIs" dxfId="718" priority="38" operator="greaterThan">
      <formula>12801</formula>
    </cfRule>
    <cfRule type="cellIs" dxfId="717" priority="35" operator="greaterThan">
      <formula>12801</formula>
    </cfRule>
  </conditionalFormatting>
  <conditionalFormatting sqref="H6:H35">
    <cfRule type="cellIs" dxfId="716" priority="28" operator="greaterThan">
      <formula>25501</formula>
    </cfRule>
    <cfRule type="cellIs" dxfId="715" priority="27" operator="lessThan">
      <formula>25499</formula>
    </cfRule>
    <cfRule type="cellIs" dxfId="714" priority="46" operator="greaterThan">
      <formula>24999</formula>
    </cfRule>
    <cfRule type="cellIs" dxfId="713" priority="45" operator="lessThan">
      <formula>24999</formula>
    </cfRule>
    <cfRule type="cellIs" dxfId="712" priority="44" operator="equal">
      <formula>25000</formula>
    </cfRule>
  </conditionalFormatting>
  <conditionalFormatting sqref="H36">
    <cfRule type="cellIs" dxfId="711" priority="13" operator="lessThan">
      <formula>$I$36</formula>
    </cfRule>
    <cfRule type="cellIs" dxfId="710" priority="12" operator="greaterThan">
      <formula>$I$36</formula>
    </cfRule>
  </conditionalFormatting>
  <conditionalFormatting sqref="J6:J35">
    <cfRule type="cellIs" dxfId="709" priority="43" operator="lessThan">
      <formula>1</formula>
    </cfRule>
  </conditionalFormatting>
  <conditionalFormatting sqref="J6:J36">
    <cfRule type="cellIs" dxfId="708" priority="19" operator="greaterThan">
      <formula>1</formula>
    </cfRule>
  </conditionalFormatting>
  <conditionalFormatting sqref="J36">
    <cfRule type="cellIs" dxfId="707" priority="18" operator="lessThan">
      <formula>0</formula>
    </cfRule>
  </conditionalFormatting>
  <conditionalFormatting sqref="M6:M36">
    <cfRule type="cellIs" dxfId="706" priority="16" operator="lessThan">
      <formula>1</formula>
    </cfRule>
    <cfRule type="cellIs" dxfId="705" priority="17" operator="greaterThan">
      <formula>1</formula>
    </cfRule>
  </conditionalFormatting>
  <conditionalFormatting sqref="O6:O35">
    <cfRule type="containsText" dxfId="704" priority="20" operator="containsText" text="X">
      <formula>NOT(ISERROR(SEARCH("X",O6)))</formula>
    </cfRule>
    <cfRule type="containsText" dxfId="703" priority="21" operator="containsText" text="W">
      <formula>NOT(ISERROR(SEARCH("W",O6)))</formula>
    </cfRule>
  </conditionalFormatting>
  <conditionalFormatting sqref="O9:O35">
    <cfRule type="containsText" dxfId="702" priority="55" operator="containsText" text="W">
      <formula>NOT(ISERROR(SEARCH("W",O9)))</formula>
    </cfRule>
    <cfRule type="containsText" dxfId="701" priority="54" operator="containsText" text="X">
      <formula>NOT(ISERROR(SEARCH("X",O9)))</formula>
    </cfRule>
  </conditionalFormatting>
  <conditionalFormatting sqref="P6:P35">
    <cfRule type="cellIs" dxfId="700" priority="51" operator="equal">
      <formula>1</formula>
    </cfRule>
    <cfRule type="cellIs" dxfId="699" priority="52" operator="lessThan">
      <formula>1</formula>
    </cfRule>
    <cfRule type="cellIs" dxfId="698" priority="53" operator="greaterThan">
      <formula>1</formula>
    </cfRule>
  </conditionalFormatting>
  <conditionalFormatting sqref="R6:R35">
    <cfRule type="containsText" dxfId="697" priority="26" operator="containsText" text="Y">
      <formula>NOT(ISERROR(SEARCH("Y",R6)))</formula>
    </cfRule>
    <cfRule type="containsText" dxfId="696" priority="36" operator="containsText" text="N">
      <formula>NOT(ISERROR(SEARCH("N",R6)))</formula>
    </cfRule>
    <cfRule type="containsText" dxfId="695" priority="37" operator="containsText" text="Y">
      <formula>NOT(ISERROR(SEARCH("Y",R6)))</formula>
    </cfRule>
  </conditionalFormatting>
  <conditionalFormatting sqref="S6:S35">
    <cfRule type="cellIs" dxfId="694" priority="47" operator="between">
      <formula>40</formula>
      <formula>49</formula>
    </cfRule>
    <cfRule type="cellIs" dxfId="693" priority="48" operator="lessThan">
      <formula>49</formula>
    </cfRule>
    <cfRule type="cellIs" dxfId="692" priority="50" operator="equal">
      <formula>40</formula>
    </cfRule>
    <cfRule type="cellIs" dxfId="691" priority="49" operator="greaterThan">
      <formula>49</formula>
    </cfRule>
  </conditionalFormatting>
  <conditionalFormatting sqref="T6:T35">
    <cfRule type="cellIs" dxfId="690" priority="39" operator="lessThan">
      <formula>71</formula>
    </cfRule>
    <cfRule type="cellIs" dxfId="689" priority="40" operator="greaterThan">
      <formula>72</formula>
    </cfRule>
  </conditionalFormatting>
  <conditionalFormatting sqref="T6:U35">
    <cfRule type="cellIs" dxfId="688" priority="3" operator="lessThan">
      <formula>75</formula>
    </cfRule>
    <cfRule type="cellIs" dxfId="687" priority="4" operator="greaterThan">
      <formula>76</formula>
    </cfRule>
    <cfRule type="cellIs" dxfId="686" priority="32" operator="lessThan">
      <formula>71</formula>
    </cfRule>
    <cfRule type="cellIs" dxfId="685" priority="33" operator="greaterThan">
      <formula>73</formula>
    </cfRule>
  </conditionalFormatting>
  <conditionalFormatting sqref="U6:U35">
    <cfRule type="cellIs" dxfId="684" priority="41" operator="lessThan">
      <formula>79</formula>
    </cfRule>
    <cfRule type="cellIs" dxfId="683" priority="42" operator="greaterThan">
      <formula>80</formula>
    </cfRule>
  </conditionalFormatting>
  <conditionalFormatting sqref="V6:W35">
    <cfRule type="cellIs" dxfId="682" priority="9" operator="greaterThan">
      <formula>8</formula>
    </cfRule>
    <cfRule type="cellIs" dxfId="681" priority="8" operator="equal">
      <formula>7</formula>
    </cfRule>
    <cfRule type="cellIs" dxfId="680" priority="7" operator="lessThan">
      <formula>7</formula>
    </cfRule>
  </conditionalFormatting>
  <conditionalFormatting sqref="X6:X35">
    <cfRule type="cellIs" dxfId="679" priority="30" operator="lessThan">
      <formula>39</formula>
    </cfRule>
    <cfRule type="cellIs" dxfId="678" priority="31" operator="greaterThan">
      <formula>41</formula>
    </cfRule>
    <cfRule type="cellIs" dxfId="677" priority="29" operator="equal">
      <formula>40</formula>
    </cfRule>
  </conditionalFormatting>
  <conditionalFormatting sqref="X6:X36">
    <cfRule type="cellIs" dxfId="676" priority="15" operator="greaterThan">
      <formula>25</formula>
    </cfRule>
    <cfRule type="cellIs" dxfId="675" priority="14" operator="lessThan">
      <formula>25</formula>
    </cfRule>
  </conditionalFormatting>
  <conditionalFormatting sqref="Z6:Z35">
    <cfRule type="cellIs" dxfId="674" priority="5" operator="greaterThan">
      <formula>876</formula>
    </cfRule>
    <cfRule type="cellIs" dxfId="673" priority="6" operator="lessThan">
      <formula>874</formula>
    </cfRule>
  </conditionalFormatting>
  <conditionalFormatting sqref="AE6:AE35">
    <cfRule type="cellIs" dxfId="672" priority="2" operator="greaterThan">
      <formula>0</formula>
    </cfRule>
    <cfRule type="cellIs" dxfId="671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F9FD-3824-481E-91A2-0FB2D8268C39}">
  <sheetPr>
    <tabColor theme="8" tint="0.59999389629810485"/>
    <pageSetUpPr fitToPage="1"/>
  </sheetPr>
  <dimension ref="B1:AE39"/>
  <sheetViews>
    <sheetView topLeftCell="A5" zoomScale="40" zoomScaleNormal="40" workbookViewId="0">
      <selection activeCell="N37" sqref="N37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30" width="15.625" customWidth="1"/>
    <col min="31" max="31" width="11.875" customWidth="1"/>
  </cols>
  <sheetData>
    <row r="1" spans="2:31" ht="98.25" customHeight="1" x14ac:dyDescent="0.25"/>
    <row r="2" spans="2:31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2:31" ht="93.75" x14ac:dyDescent="0.25">
      <c r="B3" s="80"/>
      <c r="C3" s="81" t="s">
        <v>82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2"/>
    </row>
    <row r="4" spans="2:31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2"/>
      <c r="AA4" s="2"/>
      <c r="AB4" s="2"/>
      <c r="AC4" s="2"/>
      <c r="AD4" s="2"/>
      <c r="AE4" s="82"/>
    </row>
    <row r="5" spans="2:31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24</v>
      </c>
      <c r="Z5" s="5" t="s">
        <v>25</v>
      </c>
      <c r="AA5" s="6" t="s">
        <v>26</v>
      </c>
      <c r="AB5" s="4" t="s">
        <v>27</v>
      </c>
      <c r="AC5" s="4" t="s">
        <v>28</v>
      </c>
      <c r="AD5" s="4" t="s">
        <v>29</v>
      </c>
      <c r="AE5" s="82"/>
    </row>
    <row r="6" spans="2:31" ht="45" customHeight="1" x14ac:dyDescent="0.25">
      <c r="B6" s="80"/>
      <c r="C6" s="7">
        <v>46023</v>
      </c>
      <c r="D6" s="8">
        <v>6339</v>
      </c>
      <c r="E6" s="9">
        <v>4</v>
      </c>
      <c r="F6" s="9">
        <v>0</v>
      </c>
      <c r="G6" s="9">
        <v>3</v>
      </c>
      <c r="H6" s="9">
        <f t="shared" ref="H6:H36" si="0">SUM(D6+F6)</f>
        <v>6339</v>
      </c>
      <c r="I6" s="9">
        <v>0</v>
      </c>
      <c r="J6" s="9">
        <f t="shared" ref="J6:J36" si="1">I6-H6</f>
        <v>-6339</v>
      </c>
      <c r="K6" s="9">
        <v>17406</v>
      </c>
      <c r="L6" s="9">
        <v>0</v>
      </c>
      <c r="M6" s="9">
        <f t="shared" ref="M6:M11" si="2">H6-(K6+L6)</f>
        <v>-11067</v>
      </c>
      <c r="N6" s="9">
        <v>100829</v>
      </c>
      <c r="O6" s="9" t="s">
        <v>77</v>
      </c>
      <c r="P6" s="3">
        <v>0</v>
      </c>
      <c r="Q6" s="3">
        <v>4</v>
      </c>
      <c r="R6" s="3" t="s">
        <v>78</v>
      </c>
      <c r="S6" s="3">
        <v>232</v>
      </c>
      <c r="T6" s="3">
        <v>21</v>
      </c>
      <c r="U6" s="3">
        <v>0</v>
      </c>
      <c r="V6" s="3">
        <v>2</v>
      </c>
      <c r="W6" s="3">
        <v>2</v>
      </c>
      <c r="X6" s="11">
        <f t="shared" ref="X6:X36" si="3">Y6/35</f>
        <v>0</v>
      </c>
      <c r="Y6" s="9">
        <v>0</v>
      </c>
      <c r="Z6" s="9">
        <v>6</v>
      </c>
      <c r="AA6" s="9">
        <v>0</v>
      </c>
      <c r="AB6" s="9">
        <v>21</v>
      </c>
      <c r="AC6" s="9">
        <f t="shared" ref="AC6:AC34" si="4">SUM(Z6+AA6)</f>
        <v>6</v>
      </c>
      <c r="AD6" s="9">
        <f t="shared" ref="AD6:AD36" si="5">AC6-AB6</f>
        <v>-15</v>
      </c>
      <c r="AE6" s="82"/>
    </row>
    <row r="7" spans="2:31" ht="45" customHeight="1" x14ac:dyDescent="0.25">
      <c r="B7" s="80"/>
      <c r="C7" s="7">
        <v>46024</v>
      </c>
      <c r="D7" s="9">
        <v>8638</v>
      </c>
      <c r="E7" s="9">
        <v>1</v>
      </c>
      <c r="F7" s="9">
        <v>7347</v>
      </c>
      <c r="G7" s="9">
        <v>2</v>
      </c>
      <c r="H7" s="9">
        <f t="shared" si="0"/>
        <v>15985</v>
      </c>
      <c r="I7" s="9">
        <v>0</v>
      </c>
      <c r="J7" s="9">
        <f t="shared" si="1"/>
        <v>-15985</v>
      </c>
      <c r="K7" s="9">
        <v>14686</v>
      </c>
      <c r="L7" s="9">
        <v>0</v>
      </c>
      <c r="M7" s="9">
        <f t="shared" si="2"/>
        <v>1299</v>
      </c>
      <c r="N7" s="9">
        <v>100734</v>
      </c>
      <c r="O7" s="3" t="s">
        <v>77</v>
      </c>
      <c r="P7" s="3">
        <v>0</v>
      </c>
      <c r="Q7" s="3">
        <v>0</v>
      </c>
      <c r="R7" s="3" t="s">
        <v>80</v>
      </c>
      <c r="S7" s="3">
        <v>218</v>
      </c>
      <c r="T7" s="3">
        <v>63</v>
      </c>
      <c r="U7" s="3">
        <v>157</v>
      </c>
      <c r="V7" s="3">
        <v>6</v>
      </c>
      <c r="W7" s="3">
        <v>6</v>
      </c>
      <c r="X7" s="11">
        <f t="shared" si="3"/>
        <v>3.2571428571428571</v>
      </c>
      <c r="Y7" s="9">
        <v>114</v>
      </c>
      <c r="Z7" s="9">
        <v>9</v>
      </c>
      <c r="AA7" s="9">
        <v>7</v>
      </c>
      <c r="AB7" s="9">
        <v>19</v>
      </c>
      <c r="AC7" s="9">
        <f t="shared" si="4"/>
        <v>16</v>
      </c>
      <c r="AD7" s="9">
        <f t="shared" si="5"/>
        <v>-3</v>
      </c>
      <c r="AE7" s="82"/>
    </row>
    <row r="8" spans="2:31" ht="45" customHeight="1" x14ac:dyDescent="0.25">
      <c r="B8" s="80"/>
      <c r="C8" s="7">
        <v>46025</v>
      </c>
      <c r="D8" s="9">
        <v>8179</v>
      </c>
      <c r="E8" s="9">
        <v>1</v>
      </c>
      <c r="F8" s="9">
        <v>4442</v>
      </c>
      <c r="G8" s="9">
        <v>2</v>
      </c>
      <c r="H8" s="9">
        <f>SUM(D8+F8)</f>
        <v>12621</v>
      </c>
      <c r="I8" s="9">
        <v>0</v>
      </c>
      <c r="J8" s="9">
        <f>I8-H8</f>
        <v>-12621</v>
      </c>
      <c r="K8" s="9">
        <v>14339</v>
      </c>
      <c r="L8" s="9">
        <v>1058</v>
      </c>
      <c r="M8" s="9">
        <f t="shared" si="2"/>
        <v>-2776</v>
      </c>
      <c r="N8" s="9">
        <v>106025</v>
      </c>
      <c r="O8" s="3" t="s">
        <v>79</v>
      </c>
      <c r="P8" s="3">
        <v>0</v>
      </c>
      <c r="Q8" s="3">
        <v>0</v>
      </c>
      <c r="R8" s="3" t="s">
        <v>80</v>
      </c>
      <c r="S8" s="3">
        <v>218</v>
      </c>
      <c r="T8" s="3">
        <v>83</v>
      </c>
      <c r="U8" s="3">
        <v>78</v>
      </c>
      <c r="V8" s="3">
        <v>6</v>
      </c>
      <c r="W8" s="3">
        <v>6</v>
      </c>
      <c r="X8" s="11">
        <f t="shared" si="3"/>
        <v>8.9714285714285715</v>
      </c>
      <c r="Y8" s="9">
        <v>314</v>
      </c>
      <c r="Z8" s="9">
        <v>8</v>
      </c>
      <c r="AA8" s="9">
        <v>5</v>
      </c>
      <c r="AB8" s="9">
        <v>19</v>
      </c>
      <c r="AC8" s="9">
        <f t="shared" si="4"/>
        <v>13</v>
      </c>
      <c r="AD8" s="9">
        <f t="shared" si="5"/>
        <v>-6</v>
      </c>
      <c r="AE8" s="82"/>
    </row>
    <row r="9" spans="2:31" ht="45" customHeight="1" x14ac:dyDescent="0.25">
      <c r="B9" s="80"/>
      <c r="C9" s="7">
        <v>46026</v>
      </c>
      <c r="D9" s="9">
        <v>3942</v>
      </c>
      <c r="E9" s="9">
        <v>1</v>
      </c>
      <c r="F9" s="9">
        <v>2948</v>
      </c>
      <c r="G9" s="9">
        <v>2</v>
      </c>
      <c r="H9" s="9">
        <f>SUM(D9+F9)</f>
        <v>6890</v>
      </c>
      <c r="I9" s="9">
        <v>0</v>
      </c>
      <c r="J9" s="9">
        <f t="shared" si="1"/>
        <v>-6890</v>
      </c>
      <c r="K9" s="9">
        <v>8768</v>
      </c>
      <c r="L9" s="9">
        <v>1058</v>
      </c>
      <c r="M9" s="9">
        <f t="shared" si="2"/>
        <v>-2936</v>
      </c>
      <c r="N9" s="9">
        <v>117532</v>
      </c>
      <c r="O9" s="9" t="s">
        <v>79</v>
      </c>
      <c r="P9" s="3">
        <v>0</v>
      </c>
      <c r="Q9" s="3">
        <v>0</v>
      </c>
      <c r="R9" s="3" t="s">
        <v>80</v>
      </c>
      <c r="S9" s="3">
        <v>176</v>
      </c>
      <c r="T9" s="3">
        <v>88</v>
      </c>
      <c r="U9" s="3">
        <v>105</v>
      </c>
      <c r="V9" s="3">
        <v>6</v>
      </c>
      <c r="W9" s="3">
        <v>6</v>
      </c>
      <c r="X9" s="11">
        <f t="shared" si="3"/>
        <v>4.6571428571428575</v>
      </c>
      <c r="Y9" s="9">
        <v>163</v>
      </c>
      <c r="Z9" s="9">
        <v>4</v>
      </c>
      <c r="AA9" s="9">
        <v>3</v>
      </c>
      <c r="AB9" s="9">
        <v>18</v>
      </c>
      <c r="AC9" s="9">
        <f t="shared" si="4"/>
        <v>7</v>
      </c>
      <c r="AD9" s="9">
        <f t="shared" si="5"/>
        <v>-11</v>
      </c>
      <c r="AE9" s="82"/>
    </row>
    <row r="10" spans="2:31" ht="45" customHeight="1" x14ac:dyDescent="0.25">
      <c r="B10" s="80"/>
      <c r="C10" s="7">
        <v>46027</v>
      </c>
      <c r="D10" s="9">
        <v>13671</v>
      </c>
      <c r="E10" s="9">
        <v>3</v>
      </c>
      <c r="F10" s="9">
        <v>9817</v>
      </c>
      <c r="G10" s="9">
        <v>4</v>
      </c>
      <c r="H10" s="9">
        <f t="shared" si="0"/>
        <v>23488</v>
      </c>
      <c r="I10" s="9">
        <v>22088</v>
      </c>
      <c r="J10" s="9">
        <f t="shared" si="1"/>
        <v>-1400</v>
      </c>
      <c r="K10" s="9">
        <v>12091</v>
      </c>
      <c r="L10" s="9">
        <v>0</v>
      </c>
      <c r="M10" s="9">
        <f t="shared" si="2"/>
        <v>11397</v>
      </c>
      <c r="N10" s="9">
        <v>113733</v>
      </c>
      <c r="O10" s="9" t="s">
        <v>77</v>
      </c>
      <c r="P10" s="3">
        <v>0</v>
      </c>
      <c r="Q10" s="3">
        <v>3</v>
      </c>
      <c r="R10" s="3" t="s">
        <v>78</v>
      </c>
      <c r="S10" s="3">
        <v>175</v>
      </c>
      <c r="T10" s="3">
        <v>97</v>
      </c>
      <c r="U10" s="3">
        <v>83</v>
      </c>
      <c r="V10" s="3">
        <v>7</v>
      </c>
      <c r="W10" s="3">
        <v>8</v>
      </c>
      <c r="X10" s="11">
        <f t="shared" si="3"/>
        <v>4.4571428571428573</v>
      </c>
      <c r="Y10" s="9">
        <v>156</v>
      </c>
      <c r="Z10" s="9">
        <v>13</v>
      </c>
      <c r="AA10" s="9">
        <v>9</v>
      </c>
      <c r="AB10" s="9">
        <v>15</v>
      </c>
      <c r="AC10" s="9">
        <f t="shared" si="4"/>
        <v>22</v>
      </c>
      <c r="AD10" s="9">
        <f t="shared" si="5"/>
        <v>7</v>
      </c>
      <c r="AE10" s="82"/>
    </row>
    <row r="11" spans="2:31" ht="45" customHeight="1" x14ac:dyDescent="0.25">
      <c r="B11" s="80"/>
      <c r="C11" s="7">
        <v>46028</v>
      </c>
      <c r="D11" s="9">
        <v>18103</v>
      </c>
      <c r="E11" s="9">
        <v>3</v>
      </c>
      <c r="F11" s="9">
        <v>10505</v>
      </c>
      <c r="G11" s="9">
        <v>4</v>
      </c>
      <c r="H11" s="9">
        <f t="shared" si="0"/>
        <v>28608</v>
      </c>
      <c r="I11" s="9">
        <v>21947</v>
      </c>
      <c r="J11" s="9">
        <f t="shared" si="1"/>
        <v>-6661</v>
      </c>
      <c r="K11" s="9">
        <v>28089</v>
      </c>
      <c r="L11" s="9">
        <v>920</v>
      </c>
      <c r="M11" s="9">
        <f t="shared" si="2"/>
        <v>-401</v>
      </c>
      <c r="N11" s="9">
        <v>105315</v>
      </c>
      <c r="O11" s="9" t="s">
        <v>77</v>
      </c>
      <c r="P11" s="3">
        <v>0</v>
      </c>
      <c r="Q11" s="3">
        <v>9</v>
      </c>
      <c r="R11" s="3" t="s">
        <v>78</v>
      </c>
      <c r="S11" s="3">
        <v>212</v>
      </c>
      <c r="T11" s="3">
        <v>125</v>
      </c>
      <c r="U11" s="3">
        <v>70</v>
      </c>
      <c r="V11" s="3">
        <v>8</v>
      </c>
      <c r="W11" s="3">
        <v>9</v>
      </c>
      <c r="X11" s="11">
        <f t="shared" si="3"/>
        <v>11.485714285714286</v>
      </c>
      <c r="Y11" s="9">
        <v>402</v>
      </c>
      <c r="Z11" s="9">
        <v>14</v>
      </c>
      <c r="AA11" s="9">
        <v>10</v>
      </c>
      <c r="AB11" s="9">
        <v>27</v>
      </c>
      <c r="AC11" s="9">
        <f t="shared" si="4"/>
        <v>24</v>
      </c>
      <c r="AD11" s="9">
        <f t="shared" si="5"/>
        <v>-3</v>
      </c>
      <c r="AE11" s="82"/>
    </row>
    <row r="12" spans="2:31" ht="45" customHeight="1" x14ac:dyDescent="0.25">
      <c r="B12" s="80"/>
      <c r="C12" s="7">
        <v>46029</v>
      </c>
      <c r="D12" s="9">
        <v>13750</v>
      </c>
      <c r="E12" s="9">
        <v>1</v>
      </c>
      <c r="F12" s="9">
        <v>15969</v>
      </c>
      <c r="G12" s="9">
        <v>2</v>
      </c>
      <c r="H12" s="9">
        <f t="shared" si="0"/>
        <v>29719</v>
      </c>
      <c r="I12" s="9">
        <v>20351</v>
      </c>
      <c r="J12" s="9">
        <f t="shared" si="1"/>
        <v>-9368</v>
      </c>
      <c r="K12" s="9">
        <v>27027</v>
      </c>
      <c r="L12" s="9">
        <v>0</v>
      </c>
      <c r="M12" s="9">
        <f t="shared" ref="M12:M36" si="6">H12-(K12+L12)</f>
        <v>2692</v>
      </c>
      <c r="N12" s="9">
        <v>98022</v>
      </c>
      <c r="O12" s="9" t="s">
        <v>77</v>
      </c>
      <c r="P12" s="3">
        <v>0</v>
      </c>
      <c r="Q12" s="3">
        <v>5</v>
      </c>
      <c r="R12" s="3" t="s">
        <v>78</v>
      </c>
      <c r="S12" s="3">
        <v>218</v>
      </c>
      <c r="T12" s="3">
        <v>80</v>
      </c>
      <c r="U12" s="3">
        <v>122</v>
      </c>
      <c r="V12" s="3">
        <v>8</v>
      </c>
      <c r="W12" s="3">
        <v>8</v>
      </c>
      <c r="X12" s="11">
        <f t="shared" si="3"/>
        <v>10.485714285714286</v>
      </c>
      <c r="Y12" s="9">
        <v>367</v>
      </c>
      <c r="Z12" s="9">
        <v>14</v>
      </c>
      <c r="AA12" s="9">
        <v>15</v>
      </c>
      <c r="AB12" s="9">
        <v>26</v>
      </c>
      <c r="AC12" s="9">
        <f t="shared" si="4"/>
        <v>29</v>
      </c>
      <c r="AD12" s="9">
        <f t="shared" si="5"/>
        <v>3</v>
      </c>
      <c r="AE12" s="82"/>
    </row>
    <row r="13" spans="2:31" ht="45" customHeight="1" x14ac:dyDescent="0.25">
      <c r="B13" s="80"/>
      <c r="C13" s="7">
        <v>46030</v>
      </c>
      <c r="D13" s="9">
        <v>15909</v>
      </c>
      <c r="E13" s="9">
        <v>1</v>
      </c>
      <c r="F13" s="9">
        <v>10750</v>
      </c>
      <c r="G13" s="9">
        <v>2</v>
      </c>
      <c r="H13" s="9">
        <f t="shared" si="0"/>
        <v>26659</v>
      </c>
      <c r="I13" s="9">
        <v>19932</v>
      </c>
      <c r="J13" s="9">
        <f t="shared" si="1"/>
        <v>-6727</v>
      </c>
      <c r="K13" s="9">
        <v>10658</v>
      </c>
      <c r="L13" s="9">
        <v>3743</v>
      </c>
      <c r="M13" s="9">
        <f t="shared" si="6"/>
        <v>12258</v>
      </c>
      <c r="N13" s="9">
        <v>93632</v>
      </c>
      <c r="O13" s="9" t="s">
        <v>77</v>
      </c>
      <c r="P13" s="3">
        <v>0</v>
      </c>
      <c r="Q13" s="3">
        <v>0</v>
      </c>
      <c r="R13" s="3" t="s">
        <v>80</v>
      </c>
      <c r="S13" s="3">
        <v>226</v>
      </c>
      <c r="T13" s="3">
        <v>67</v>
      </c>
      <c r="U13" s="3">
        <v>106</v>
      </c>
      <c r="V13" s="3">
        <v>8</v>
      </c>
      <c r="W13" s="3">
        <v>8</v>
      </c>
      <c r="X13" s="11">
        <f t="shared" si="3"/>
        <v>3.7142857142857144</v>
      </c>
      <c r="Y13" s="9">
        <v>130</v>
      </c>
      <c r="Z13" s="9">
        <v>15</v>
      </c>
      <c r="AA13" s="9">
        <v>11</v>
      </c>
      <c r="AB13" s="9">
        <v>20</v>
      </c>
      <c r="AC13" s="9">
        <f t="shared" si="4"/>
        <v>26</v>
      </c>
      <c r="AD13" s="9">
        <f t="shared" si="5"/>
        <v>6</v>
      </c>
      <c r="AE13" s="82"/>
    </row>
    <row r="14" spans="2:31" ht="45" customHeight="1" x14ac:dyDescent="0.5">
      <c r="B14" s="80"/>
      <c r="C14" s="7">
        <v>46031</v>
      </c>
      <c r="D14" s="9">
        <v>14656</v>
      </c>
      <c r="E14" s="9">
        <v>3</v>
      </c>
      <c r="F14" s="9">
        <v>4712</v>
      </c>
      <c r="G14" s="9">
        <v>4</v>
      </c>
      <c r="H14" s="9">
        <f t="shared" si="0"/>
        <v>19368</v>
      </c>
      <c r="I14" s="14">
        <v>22291</v>
      </c>
      <c r="J14" s="9">
        <f t="shared" si="1"/>
        <v>2923</v>
      </c>
      <c r="K14" s="9">
        <v>12218</v>
      </c>
      <c r="L14" s="9">
        <v>0</v>
      </c>
      <c r="M14" s="9">
        <f t="shared" si="6"/>
        <v>7150</v>
      </c>
      <c r="N14" s="9">
        <v>97306</v>
      </c>
      <c r="O14" s="9" t="s">
        <v>79</v>
      </c>
      <c r="P14" s="3">
        <v>0</v>
      </c>
      <c r="Q14" s="3">
        <v>0</v>
      </c>
      <c r="R14" s="3" t="s">
        <v>80</v>
      </c>
      <c r="S14" s="3">
        <v>200</v>
      </c>
      <c r="T14" s="3">
        <v>83</v>
      </c>
      <c r="U14" s="3">
        <v>157</v>
      </c>
      <c r="V14" s="3">
        <v>8</v>
      </c>
      <c r="W14" s="3">
        <v>7</v>
      </c>
      <c r="X14" s="11">
        <f t="shared" si="3"/>
        <v>9.4857142857142858</v>
      </c>
      <c r="Y14" s="9">
        <v>332</v>
      </c>
      <c r="Z14" s="9">
        <v>13</v>
      </c>
      <c r="AA14" s="9">
        <v>5</v>
      </c>
      <c r="AB14" s="9">
        <v>17</v>
      </c>
      <c r="AC14" s="9">
        <f t="shared" si="4"/>
        <v>18</v>
      </c>
      <c r="AD14" s="9">
        <f t="shared" si="5"/>
        <v>1</v>
      </c>
      <c r="AE14" s="82"/>
    </row>
    <row r="15" spans="2:31" ht="45" customHeight="1" x14ac:dyDescent="0.5">
      <c r="B15" s="80"/>
      <c r="C15" s="7">
        <v>46032</v>
      </c>
      <c r="D15" s="9">
        <v>13595</v>
      </c>
      <c r="E15" s="9">
        <v>3</v>
      </c>
      <c r="F15" s="9">
        <v>3942</v>
      </c>
      <c r="G15" s="9">
        <v>4</v>
      </c>
      <c r="H15" s="9">
        <f t="shared" si="0"/>
        <v>17537</v>
      </c>
      <c r="I15" s="14">
        <v>24281</v>
      </c>
      <c r="J15" s="9">
        <f t="shared" si="1"/>
        <v>6744</v>
      </c>
      <c r="K15" s="9">
        <v>13232</v>
      </c>
      <c r="L15" s="9">
        <v>0</v>
      </c>
      <c r="M15" s="9">
        <f t="shared" si="6"/>
        <v>4305</v>
      </c>
      <c r="N15" s="9">
        <v>99021</v>
      </c>
      <c r="O15" s="9" t="s">
        <v>79</v>
      </c>
      <c r="P15" s="3">
        <v>0</v>
      </c>
      <c r="Q15" s="3">
        <v>0</v>
      </c>
      <c r="R15" s="3" t="s">
        <v>80</v>
      </c>
      <c r="S15" s="3">
        <v>195</v>
      </c>
      <c r="T15" s="3">
        <v>127</v>
      </c>
      <c r="U15" s="3">
        <v>93</v>
      </c>
      <c r="V15" s="3">
        <v>6</v>
      </c>
      <c r="W15" s="3">
        <v>6</v>
      </c>
      <c r="X15" s="11">
        <f t="shared" si="3"/>
        <v>9.1999999999999993</v>
      </c>
      <c r="Y15" s="9">
        <v>322</v>
      </c>
      <c r="Z15" s="9">
        <v>13</v>
      </c>
      <c r="AA15" s="9">
        <v>4</v>
      </c>
      <c r="AB15" s="9">
        <v>18</v>
      </c>
      <c r="AC15" s="9">
        <f t="shared" si="4"/>
        <v>17</v>
      </c>
      <c r="AD15" s="9">
        <f t="shared" si="5"/>
        <v>-1</v>
      </c>
      <c r="AE15" s="82"/>
    </row>
    <row r="16" spans="2:31" ht="45" customHeight="1" x14ac:dyDescent="0.5">
      <c r="B16" s="80"/>
      <c r="C16" s="7">
        <v>46033</v>
      </c>
      <c r="D16" s="9">
        <v>13771</v>
      </c>
      <c r="E16" s="9">
        <v>3</v>
      </c>
      <c r="F16" s="9">
        <v>7881</v>
      </c>
      <c r="G16" s="9">
        <v>4</v>
      </c>
      <c r="H16" s="9">
        <f t="shared" si="0"/>
        <v>21652</v>
      </c>
      <c r="I16" s="14">
        <v>23518</v>
      </c>
      <c r="J16" s="9">
        <f t="shared" si="1"/>
        <v>1866</v>
      </c>
      <c r="K16" s="9">
        <v>12569</v>
      </c>
      <c r="L16" s="9">
        <v>0</v>
      </c>
      <c r="M16" s="9">
        <f t="shared" si="6"/>
        <v>9083</v>
      </c>
      <c r="N16" s="9">
        <v>106272</v>
      </c>
      <c r="O16" s="9" t="s">
        <v>79</v>
      </c>
      <c r="P16" s="3">
        <v>0</v>
      </c>
      <c r="Q16" s="3">
        <v>1</v>
      </c>
      <c r="R16" s="3" t="s">
        <v>78</v>
      </c>
      <c r="S16" s="3">
        <v>190</v>
      </c>
      <c r="T16" s="3">
        <v>92</v>
      </c>
      <c r="U16" s="3">
        <v>89</v>
      </c>
      <c r="V16" s="3">
        <v>6</v>
      </c>
      <c r="W16" s="3">
        <v>7</v>
      </c>
      <c r="X16" s="11">
        <f t="shared" si="3"/>
        <v>14.485714285714286</v>
      </c>
      <c r="Y16" s="9">
        <v>507</v>
      </c>
      <c r="Z16" s="9">
        <v>14</v>
      </c>
      <c r="AA16" s="9">
        <v>8</v>
      </c>
      <c r="AB16" s="9">
        <v>18</v>
      </c>
      <c r="AC16" s="9">
        <f t="shared" si="4"/>
        <v>22</v>
      </c>
      <c r="AD16" s="9">
        <f t="shared" si="5"/>
        <v>4</v>
      </c>
      <c r="AE16" s="82"/>
    </row>
    <row r="17" spans="2:31" ht="45" customHeight="1" x14ac:dyDescent="0.25">
      <c r="B17" s="80"/>
      <c r="C17" s="7">
        <v>46034</v>
      </c>
      <c r="D17" s="9">
        <v>14820</v>
      </c>
      <c r="E17" s="9">
        <v>2</v>
      </c>
      <c r="F17" s="9">
        <v>5996</v>
      </c>
      <c r="G17" s="9">
        <v>1</v>
      </c>
      <c r="H17" s="9">
        <f t="shared" si="0"/>
        <v>20816</v>
      </c>
      <c r="I17" s="9">
        <v>25667</v>
      </c>
      <c r="J17" s="9">
        <f t="shared" si="1"/>
        <v>4851</v>
      </c>
      <c r="K17" s="9">
        <v>14691</v>
      </c>
      <c r="L17" s="9">
        <v>1978</v>
      </c>
      <c r="M17" s="9">
        <f t="shared" si="6"/>
        <v>4147</v>
      </c>
      <c r="N17" s="9">
        <v>109902</v>
      </c>
      <c r="O17" s="9" t="s">
        <v>79</v>
      </c>
      <c r="P17" s="3">
        <v>0</v>
      </c>
      <c r="Q17" s="3">
        <v>0</v>
      </c>
      <c r="R17" s="3" t="s">
        <v>80</v>
      </c>
      <c r="S17" s="3">
        <v>192</v>
      </c>
      <c r="T17" s="3">
        <v>82</v>
      </c>
      <c r="U17" s="3">
        <v>95</v>
      </c>
      <c r="V17" s="3">
        <v>7</v>
      </c>
      <c r="W17" s="3">
        <v>8</v>
      </c>
      <c r="X17" s="11">
        <f t="shared" si="3"/>
        <v>13.028571428571428</v>
      </c>
      <c r="Y17" s="9">
        <v>456</v>
      </c>
      <c r="Z17" s="9">
        <v>14</v>
      </c>
      <c r="AA17" s="9">
        <v>6</v>
      </c>
      <c r="AB17" s="9">
        <v>21</v>
      </c>
      <c r="AC17" s="9">
        <f t="shared" si="4"/>
        <v>20</v>
      </c>
      <c r="AD17" s="9">
        <f t="shared" si="5"/>
        <v>-1</v>
      </c>
      <c r="AE17" s="82"/>
    </row>
    <row r="18" spans="2:31" ht="45" customHeight="1" x14ac:dyDescent="0.25">
      <c r="B18" s="80"/>
      <c r="C18" s="7">
        <v>46035</v>
      </c>
      <c r="D18" s="9">
        <v>9331</v>
      </c>
      <c r="E18" s="9">
        <v>2</v>
      </c>
      <c r="F18" s="9">
        <v>10915</v>
      </c>
      <c r="G18" s="9">
        <v>1</v>
      </c>
      <c r="H18" s="9">
        <f t="shared" si="0"/>
        <v>20246</v>
      </c>
      <c r="I18" s="9">
        <v>23094</v>
      </c>
      <c r="J18" s="9">
        <f t="shared" si="1"/>
        <v>2848</v>
      </c>
      <c r="K18" s="9">
        <v>12108</v>
      </c>
      <c r="L18" s="9">
        <v>786</v>
      </c>
      <c r="M18" s="9">
        <f t="shared" si="6"/>
        <v>7352</v>
      </c>
      <c r="N18" s="9">
        <v>108276</v>
      </c>
      <c r="O18" s="9" t="s">
        <v>77</v>
      </c>
      <c r="P18" s="3">
        <v>0</v>
      </c>
      <c r="Q18" s="3">
        <v>2</v>
      </c>
      <c r="R18" s="3" t="s">
        <v>78</v>
      </c>
      <c r="S18" s="3">
        <v>182</v>
      </c>
      <c r="T18" s="3">
        <v>75</v>
      </c>
      <c r="U18" s="3">
        <v>147</v>
      </c>
      <c r="V18" s="3">
        <v>7</v>
      </c>
      <c r="W18" s="3">
        <v>7</v>
      </c>
      <c r="X18" s="11">
        <f t="shared" si="3"/>
        <v>5.3428571428571425</v>
      </c>
      <c r="Y18" s="9">
        <v>187</v>
      </c>
      <c r="Z18" s="9">
        <v>11</v>
      </c>
      <c r="AA18" s="9">
        <v>10</v>
      </c>
      <c r="AB18" s="9">
        <v>16</v>
      </c>
      <c r="AC18" s="9">
        <f t="shared" si="4"/>
        <v>21</v>
      </c>
      <c r="AD18" s="9">
        <f t="shared" si="5"/>
        <v>5</v>
      </c>
      <c r="AE18" s="82"/>
    </row>
    <row r="19" spans="2:31" ht="45" customHeight="1" x14ac:dyDescent="0.25">
      <c r="B19" s="80"/>
      <c r="C19" s="7">
        <v>46036</v>
      </c>
      <c r="D19" s="9">
        <v>13478</v>
      </c>
      <c r="E19" s="9">
        <v>3</v>
      </c>
      <c r="F19" s="9">
        <v>13287</v>
      </c>
      <c r="G19" s="9">
        <v>4</v>
      </c>
      <c r="H19" s="9">
        <f t="shared" si="0"/>
        <v>26765</v>
      </c>
      <c r="I19" s="9">
        <v>24014</v>
      </c>
      <c r="J19" s="9">
        <f t="shared" si="1"/>
        <v>-2751</v>
      </c>
      <c r="K19" s="9">
        <v>15595</v>
      </c>
      <c r="L19" s="9">
        <v>800</v>
      </c>
      <c r="M19" s="9">
        <f t="shared" si="6"/>
        <v>10370</v>
      </c>
      <c r="N19" s="9">
        <v>107998</v>
      </c>
      <c r="O19" s="9" t="s">
        <v>77</v>
      </c>
      <c r="P19" s="3">
        <v>0</v>
      </c>
      <c r="Q19" s="3">
        <v>1</v>
      </c>
      <c r="R19" s="3" t="s">
        <v>78</v>
      </c>
      <c r="S19" s="3">
        <v>150</v>
      </c>
      <c r="T19" s="3">
        <v>73</v>
      </c>
      <c r="U19" s="3">
        <v>92</v>
      </c>
      <c r="V19" s="3">
        <v>8</v>
      </c>
      <c r="W19" s="3">
        <v>8</v>
      </c>
      <c r="X19" s="11">
        <f t="shared" si="3"/>
        <v>8.5714285714285712</v>
      </c>
      <c r="Y19" s="9">
        <v>300</v>
      </c>
      <c r="Z19" s="9">
        <v>13</v>
      </c>
      <c r="AA19" s="9">
        <v>13</v>
      </c>
      <c r="AB19" s="9">
        <v>21</v>
      </c>
      <c r="AC19" s="9">
        <f t="shared" si="4"/>
        <v>26</v>
      </c>
      <c r="AD19" s="9">
        <f t="shared" si="5"/>
        <v>5</v>
      </c>
      <c r="AE19" s="82"/>
    </row>
    <row r="20" spans="2:31" ht="45" customHeight="1" x14ac:dyDescent="0.25">
      <c r="B20" s="80"/>
      <c r="C20" s="7">
        <v>46037</v>
      </c>
      <c r="D20" s="9">
        <v>12480</v>
      </c>
      <c r="E20" s="9">
        <v>3</v>
      </c>
      <c r="F20" s="9">
        <v>11101</v>
      </c>
      <c r="G20" s="9">
        <v>4</v>
      </c>
      <c r="H20" s="9">
        <f t="shared" si="0"/>
        <v>23581</v>
      </c>
      <c r="I20" s="9">
        <v>23872</v>
      </c>
      <c r="J20" s="9">
        <f t="shared" si="1"/>
        <v>291</v>
      </c>
      <c r="K20" s="9">
        <v>14561</v>
      </c>
      <c r="L20" s="9">
        <v>1058</v>
      </c>
      <c r="M20" s="9">
        <f t="shared" si="6"/>
        <v>7962</v>
      </c>
      <c r="N20" s="9">
        <v>106803</v>
      </c>
      <c r="O20" s="9" t="s">
        <v>77</v>
      </c>
      <c r="P20" s="3">
        <v>0</v>
      </c>
      <c r="Q20" s="3">
        <v>3</v>
      </c>
      <c r="R20" s="3" t="s">
        <v>78</v>
      </c>
      <c r="S20" s="3">
        <v>169</v>
      </c>
      <c r="T20" s="3">
        <v>135</v>
      </c>
      <c r="U20" s="3">
        <v>36</v>
      </c>
      <c r="V20" s="3">
        <v>8</v>
      </c>
      <c r="W20" s="3">
        <v>8</v>
      </c>
      <c r="X20" s="11">
        <f t="shared" si="3"/>
        <v>12.8</v>
      </c>
      <c r="Y20" s="9">
        <v>448</v>
      </c>
      <c r="Z20" s="9">
        <v>12</v>
      </c>
      <c r="AA20" s="9">
        <v>12</v>
      </c>
      <c r="AB20" s="9">
        <v>24</v>
      </c>
      <c r="AC20" s="9">
        <f t="shared" si="4"/>
        <v>24</v>
      </c>
      <c r="AD20" s="9">
        <f t="shared" si="5"/>
        <v>0</v>
      </c>
      <c r="AE20" s="82"/>
    </row>
    <row r="21" spans="2:31" ht="45" customHeight="1" x14ac:dyDescent="0.25">
      <c r="B21" s="80"/>
      <c r="C21" s="7">
        <v>46038</v>
      </c>
      <c r="D21" s="9">
        <v>14921</v>
      </c>
      <c r="E21" s="9">
        <v>2</v>
      </c>
      <c r="F21" s="9">
        <v>12316</v>
      </c>
      <c r="G21" s="9">
        <v>1</v>
      </c>
      <c r="H21" s="9">
        <f t="shared" si="0"/>
        <v>27237</v>
      </c>
      <c r="I21" s="9">
        <v>24973</v>
      </c>
      <c r="J21" s="9">
        <f t="shared" si="1"/>
        <v>-2264</v>
      </c>
      <c r="K21" s="9">
        <v>17239</v>
      </c>
      <c r="L21" s="9">
        <v>0</v>
      </c>
      <c r="M21" s="9">
        <f t="shared" si="6"/>
        <v>9998</v>
      </c>
      <c r="N21" s="9">
        <v>103129</v>
      </c>
      <c r="O21" s="9" t="s">
        <v>77</v>
      </c>
      <c r="P21" s="3">
        <v>0</v>
      </c>
      <c r="Q21" s="3">
        <v>4</v>
      </c>
      <c r="R21" s="3" t="s">
        <v>78</v>
      </c>
      <c r="S21" s="3">
        <v>186</v>
      </c>
      <c r="T21" s="3">
        <v>132</v>
      </c>
      <c r="U21" s="3">
        <v>63</v>
      </c>
      <c r="V21" s="3">
        <v>8</v>
      </c>
      <c r="W21" s="3">
        <v>8</v>
      </c>
      <c r="X21" s="11">
        <f t="shared" si="3"/>
        <v>12.685714285714285</v>
      </c>
      <c r="Y21" s="9">
        <v>444</v>
      </c>
      <c r="Z21" s="9">
        <v>14</v>
      </c>
      <c r="AA21" s="9">
        <v>13</v>
      </c>
      <c r="AB21" s="9">
        <v>25</v>
      </c>
      <c r="AC21" s="9">
        <f t="shared" si="4"/>
        <v>27</v>
      </c>
      <c r="AD21" s="9">
        <f t="shared" si="5"/>
        <v>2</v>
      </c>
      <c r="AE21" s="82"/>
    </row>
    <row r="22" spans="2:31" ht="45" customHeight="1" x14ac:dyDescent="0.25">
      <c r="B22" s="80"/>
      <c r="C22" s="7">
        <v>46039</v>
      </c>
      <c r="D22" s="9">
        <v>10542</v>
      </c>
      <c r="E22" s="9">
        <v>2</v>
      </c>
      <c r="F22" s="9">
        <v>7465</v>
      </c>
      <c r="G22" s="9">
        <v>1</v>
      </c>
      <c r="H22" s="9">
        <f t="shared" si="0"/>
        <v>18007</v>
      </c>
      <c r="I22" s="9">
        <v>26377</v>
      </c>
      <c r="J22" s="9">
        <f t="shared" si="1"/>
        <v>8370</v>
      </c>
      <c r="K22" s="9">
        <v>10441</v>
      </c>
      <c r="L22" s="9">
        <v>800</v>
      </c>
      <c r="M22" s="9">
        <f t="shared" si="6"/>
        <v>6766</v>
      </c>
      <c r="N22" s="9">
        <v>115128</v>
      </c>
      <c r="O22" s="9" t="s">
        <v>79</v>
      </c>
      <c r="P22" s="3">
        <v>0</v>
      </c>
      <c r="Q22" s="3">
        <v>0</v>
      </c>
      <c r="R22" s="3" t="s">
        <v>80</v>
      </c>
      <c r="S22" s="3">
        <v>160</v>
      </c>
      <c r="T22" s="3">
        <v>84</v>
      </c>
      <c r="U22" s="3">
        <v>92</v>
      </c>
      <c r="V22" s="3">
        <v>6</v>
      </c>
      <c r="W22" s="3">
        <v>6</v>
      </c>
      <c r="X22" s="11">
        <f t="shared" si="3"/>
        <v>9.4285714285714288</v>
      </c>
      <c r="Y22" s="9">
        <v>330</v>
      </c>
      <c r="Z22" s="9">
        <v>10</v>
      </c>
      <c r="AA22" s="9">
        <v>7</v>
      </c>
      <c r="AB22" s="9">
        <v>19</v>
      </c>
      <c r="AC22" s="9">
        <f t="shared" si="4"/>
        <v>17</v>
      </c>
      <c r="AD22" s="9">
        <f t="shared" si="5"/>
        <v>-2</v>
      </c>
      <c r="AE22" s="82"/>
    </row>
    <row r="23" spans="2:31" ht="45" customHeight="1" x14ac:dyDescent="0.25">
      <c r="B23" s="80"/>
      <c r="C23" s="7">
        <v>46040</v>
      </c>
      <c r="D23" s="9">
        <v>16312</v>
      </c>
      <c r="E23" s="9">
        <v>2</v>
      </c>
      <c r="F23" s="9">
        <v>7607</v>
      </c>
      <c r="G23" s="9">
        <v>1</v>
      </c>
      <c r="H23" s="9">
        <f t="shared" si="0"/>
        <v>23919</v>
      </c>
      <c r="I23" s="9">
        <v>23919</v>
      </c>
      <c r="J23" s="9">
        <f t="shared" si="1"/>
        <v>0</v>
      </c>
      <c r="K23" s="9">
        <v>15066</v>
      </c>
      <c r="L23" s="9">
        <v>1978</v>
      </c>
      <c r="M23" s="9">
        <f t="shared" si="6"/>
        <v>6875</v>
      </c>
      <c r="N23" s="9">
        <v>112355</v>
      </c>
      <c r="O23" s="9" t="s">
        <v>77</v>
      </c>
      <c r="P23" s="3">
        <v>0</v>
      </c>
      <c r="Q23" s="3">
        <v>1</v>
      </c>
      <c r="R23" s="3" t="s">
        <v>78</v>
      </c>
      <c r="S23" s="3">
        <v>152</v>
      </c>
      <c r="T23" s="3">
        <v>75</v>
      </c>
      <c r="U23" s="3">
        <v>103</v>
      </c>
      <c r="V23" s="3">
        <v>6</v>
      </c>
      <c r="W23" s="3">
        <v>6</v>
      </c>
      <c r="X23" s="11">
        <f t="shared" si="3"/>
        <v>4.9714285714285715</v>
      </c>
      <c r="Y23" s="9">
        <v>174</v>
      </c>
      <c r="Z23" s="9">
        <v>16</v>
      </c>
      <c r="AA23" s="9">
        <v>7</v>
      </c>
      <c r="AB23" s="9">
        <v>24</v>
      </c>
      <c r="AC23" s="9">
        <f t="shared" si="4"/>
        <v>23</v>
      </c>
      <c r="AD23" s="9">
        <f t="shared" si="5"/>
        <v>-1</v>
      </c>
      <c r="AE23" s="82"/>
    </row>
    <row r="24" spans="2:31" ht="45" customHeight="1" x14ac:dyDescent="0.25">
      <c r="B24" s="80"/>
      <c r="C24" s="7">
        <v>46041</v>
      </c>
      <c r="D24" s="9">
        <v>10491</v>
      </c>
      <c r="E24" s="9">
        <v>4</v>
      </c>
      <c r="F24" s="9">
        <v>12150</v>
      </c>
      <c r="G24" s="9">
        <v>3</v>
      </c>
      <c r="H24" s="9">
        <f t="shared" si="0"/>
        <v>22641</v>
      </c>
      <c r="I24" s="9">
        <v>24401</v>
      </c>
      <c r="J24" s="9">
        <f t="shared" si="1"/>
        <v>1760</v>
      </c>
      <c r="K24" s="9">
        <v>19124</v>
      </c>
      <c r="L24" s="9">
        <v>0</v>
      </c>
      <c r="M24" s="9">
        <f t="shared" si="6"/>
        <v>3517</v>
      </c>
      <c r="N24" s="9">
        <v>113786</v>
      </c>
      <c r="O24" s="9" t="s">
        <v>79</v>
      </c>
      <c r="P24" s="3">
        <v>0</v>
      </c>
      <c r="Q24" s="3">
        <v>0</v>
      </c>
      <c r="R24" s="3" t="s">
        <v>80</v>
      </c>
      <c r="S24" s="3">
        <v>149</v>
      </c>
      <c r="T24" s="3">
        <v>93</v>
      </c>
      <c r="U24" s="3">
        <v>50</v>
      </c>
      <c r="V24" s="3">
        <v>7</v>
      </c>
      <c r="W24" s="3">
        <v>7</v>
      </c>
      <c r="X24" s="11">
        <f t="shared" si="3"/>
        <v>2.6857142857142855</v>
      </c>
      <c r="Y24" s="9">
        <v>94</v>
      </c>
      <c r="Z24" s="9">
        <v>10</v>
      </c>
      <c r="AA24" s="9">
        <v>11</v>
      </c>
      <c r="AB24" s="9">
        <v>22</v>
      </c>
      <c r="AC24" s="9">
        <f t="shared" si="4"/>
        <v>21</v>
      </c>
      <c r="AD24" s="9">
        <f t="shared" si="5"/>
        <v>-1</v>
      </c>
      <c r="AE24" s="82"/>
    </row>
    <row r="25" spans="2:31" ht="45" customHeight="1" x14ac:dyDescent="0.25">
      <c r="B25" s="80"/>
      <c r="C25" s="7">
        <v>46042</v>
      </c>
      <c r="D25" s="9">
        <v>11215</v>
      </c>
      <c r="E25" s="9">
        <v>4</v>
      </c>
      <c r="F25" s="9">
        <v>8312</v>
      </c>
      <c r="G25" s="9">
        <v>3</v>
      </c>
      <c r="H25" s="9">
        <f t="shared" si="0"/>
        <v>19527</v>
      </c>
      <c r="I25" s="9">
        <v>24734</v>
      </c>
      <c r="J25" s="9">
        <f t="shared" si="1"/>
        <v>5207</v>
      </c>
      <c r="K25" s="9">
        <v>12145</v>
      </c>
      <c r="L25" s="9">
        <v>1058</v>
      </c>
      <c r="M25" s="9">
        <f t="shared" si="6"/>
        <v>6324</v>
      </c>
      <c r="N25" s="9">
        <v>117226</v>
      </c>
      <c r="O25" s="9" t="s">
        <v>79</v>
      </c>
      <c r="P25" s="3">
        <v>0</v>
      </c>
      <c r="Q25" s="3">
        <v>0</v>
      </c>
      <c r="R25" s="3" t="s">
        <v>80</v>
      </c>
      <c r="S25" s="3">
        <v>140</v>
      </c>
      <c r="T25" s="3">
        <v>113</v>
      </c>
      <c r="U25" s="3">
        <v>87</v>
      </c>
      <c r="V25" s="3">
        <v>7</v>
      </c>
      <c r="W25" s="3">
        <v>7</v>
      </c>
      <c r="X25" s="11">
        <f t="shared" si="3"/>
        <v>9.1428571428571423</v>
      </c>
      <c r="Y25" s="9">
        <v>320</v>
      </c>
      <c r="Z25" s="9">
        <v>11</v>
      </c>
      <c r="AA25" s="9">
        <v>7</v>
      </c>
      <c r="AB25" s="9">
        <v>14</v>
      </c>
      <c r="AC25" s="9">
        <f t="shared" si="4"/>
        <v>18</v>
      </c>
      <c r="AD25" s="9">
        <f t="shared" si="5"/>
        <v>4</v>
      </c>
      <c r="AE25" s="82"/>
    </row>
    <row r="26" spans="2:31" ht="45" customHeight="1" x14ac:dyDescent="0.25">
      <c r="B26" s="80"/>
      <c r="C26" s="7">
        <v>46043</v>
      </c>
      <c r="D26" s="9">
        <v>16711</v>
      </c>
      <c r="E26" s="9">
        <v>2</v>
      </c>
      <c r="F26" s="9">
        <v>11296</v>
      </c>
      <c r="G26" s="9">
        <v>1</v>
      </c>
      <c r="H26" s="9">
        <f t="shared" si="0"/>
        <v>28007</v>
      </c>
      <c r="I26" s="9">
        <v>23121</v>
      </c>
      <c r="J26" s="9">
        <f t="shared" si="1"/>
        <v>-4886</v>
      </c>
      <c r="K26" s="9">
        <v>19697</v>
      </c>
      <c r="L26" s="9">
        <v>920</v>
      </c>
      <c r="M26" s="9">
        <f t="shared" si="6"/>
        <v>7390</v>
      </c>
      <c r="N26" s="9">
        <v>113068</v>
      </c>
      <c r="O26" s="9" t="s">
        <v>77</v>
      </c>
      <c r="P26" s="3">
        <v>0</v>
      </c>
      <c r="Q26" s="3">
        <v>0</v>
      </c>
      <c r="R26" s="3" t="s">
        <v>80</v>
      </c>
      <c r="S26" s="3">
        <v>151</v>
      </c>
      <c r="T26" s="3">
        <v>121</v>
      </c>
      <c r="U26" s="3">
        <v>71</v>
      </c>
      <c r="V26" s="3">
        <v>7</v>
      </c>
      <c r="W26" s="3">
        <v>7</v>
      </c>
      <c r="X26" s="11">
        <f t="shared" si="3"/>
        <v>4.5428571428571427</v>
      </c>
      <c r="Y26" s="9">
        <v>159</v>
      </c>
      <c r="Z26" s="9">
        <v>17</v>
      </c>
      <c r="AA26" s="9">
        <v>11</v>
      </c>
      <c r="AB26" s="9">
        <v>21</v>
      </c>
      <c r="AC26" s="9">
        <f t="shared" si="4"/>
        <v>28</v>
      </c>
      <c r="AD26" s="9">
        <f t="shared" si="5"/>
        <v>7</v>
      </c>
      <c r="AE26" s="82"/>
    </row>
    <row r="27" spans="2:31" ht="45" customHeight="1" x14ac:dyDescent="0.25">
      <c r="B27" s="80"/>
      <c r="C27" s="7">
        <v>46044</v>
      </c>
      <c r="D27" s="9">
        <v>17355</v>
      </c>
      <c r="E27" s="9">
        <v>2</v>
      </c>
      <c r="F27" s="9">
        <v>12246</v>
      </c>
      <c r="G27" s="9">
        <v>1</v>
      </c>
      <c r="H27" s="9">
        <f t="shared" si="0"/>
        <v>29601</v>
      </c>
      <c r="I27" s="9">
        <v>22484</v>
      </c>
      <c r="J27" s="9">
        <f t="shared" si="1"/>
        <v>-7117</v>
      </c>
      <c r="K27" s="9">
        <v>21047</v>
      </c>
      <c r="L27" s="9">
        <v>1058</v>
      </c>
      <c r="M27" s="9">
        <f t="shared" si="6"/>
        <v>7496</v>
      </c>
      <c r="N27" s="9">
        <v>103828</v>
      </c>
      <c r="O27" s="9" t="s">
        <v>77</v>
      </c>
      <c r="P27" s="3">
        <v>0</v>
      </c>
      <c r="Q27" s="3">
        <v>5</v>
      </c>
      <c r="R27" s="3" t="s">
        <v>78</v>
      </c>
      <c r="S27" s="3">
        <v>181</v>
      </c>
      <c r="T27" s="3">
        <v>87</v>
      </c>
      <c r="U27" s="3">
        <v>102</v>
      </c>
      <c r="V27" s="3">
        <v>7</v>
      </c>
      <c r="W27" s="3">
        <v>7</v>
      </c>
      <c r="X27" s="11">
        <f t="shared" si="3"/>
        <v>7.3428571428571425</v>
      </c>
      <c r="Y27" s="9">
        <v>257</v>
      </c>
      <c r="Z27" s="9">
        <v>16</v>
      </c>
      <c r="AA27" s="9">
        <v>13</v>
      </c>
      <c r="AB27" s="9">
        <v>26</v>
      </c>
      <c r="AC27" s="9">
        <f t="shared" si="4"/>
        <v>29</v>
      </c>
      <c r="AD27" s="9">
        <f t="shared" si="5"/>
        <v>3</v>
      </c>
      <c r="AE27" s="82"/>
    </row>
    <row r="28" spans="2:31" ht="45" customHeight="1" x14ac:dyDescent="0.25">
      <c r="B28" s="80"/>
      <c r="C28" s="7">
        <v>46045</v>
      </c>
      <c r="D28" s="9">
        <v>13311</v>
      </c>
      <c r="E28" s="9">
        <v>4</v>
      </c>
      <c r="F28" s="9">
        <v>15393</v>
      </c>
      <c r="G28" s="9">
        <v>3</v>
      </c>
      <c r="H28" s="9">
        <f t="shared" si="0"/>
        <v>28704</v>
      </c>
      <c r="I28" s="9">
        <v>24550</v>
      </c>
      <c r="J28" s="9">
        <f t="shared" si="1"/>
        <v>-4154</v>
      </c>
      <c r="K28" s="9">
        <v>21417</v>
      </c>
      <c r="L28" s="9">
        <v>0</v>
      </c>
      <c r="M28" s="9">
        <f t="shared" si="6"/>
        <v>7287</v>
      </c>
      <c r="N28" s="9">
        <v>100029</v>
      </c>
      <c r="O28" s="9" t="s">
        <v>77</v>
      </c>
      <c r="P28" s="3">
        <v>0</v>
      </c>
      <c r="Q28" s="3">
        <v>3</v>
      </c>
      <c r="R28" s="3" t="s">
        <v>78</v>
      </c>
      <c r="S28" s="3">
        <v>190</v>
      </c>
      <c r="T28" s="3">
        <v>92</v>
      </c>
      <c r="U28" s="3">
        <v>55</v>
      </c>
      <c r="V28" s="3">
        <v>8</v>
      </c>
      <c r="W28" s="3">
        <v>8</v>
      </c>
      <c r="X28" s="11">
        <f t="shared" si="3"/>
        <v>4.8</v>
      </c>
      <c r="Y28" s="9">
        <v>168</v>
      </c>
      <c r="Z28" s="9">
        <v>12</v>
      </c>
      <c r="AA28" s="9">
        <v>16</v>
      </c>
      <c r="AB28" s="9">
        <v>24</v>
      </c>
      <c r="AC28" s="9">
        <f t="shared" si="4"/>
        <v>28</v>
      </c>
      <c r="AD28" s="9">
        <f t="shared" si="5"/>
        <v>4</v>
      </c>
      <c r="AE28" s="82"/>
    </row>
    <row r="29" spans="2:31" ht="45" customHeight="1" x14ac:dyDescent="0.25">
      <c r="B29" s="80"/>
      <c r="C29" s="7">
        <v>46046</v>
      </c>
      <c r="D29" s="9">
        <v>11975</v>
      </c>
      <c r="E29" s="9">
        <v>4</v>
      </c>
      <c r="F29" s="9">
        <v>0</v>
      </c>
      <c r="G29" s="9">
        <v>3</v>
      </c>
      <c r="H29" s="9">
        <f t="shared" si="0"/>
        <v>11975</v>
      </c>
      <c r="I29" s="9">
        <v>24024</v>
      </c>
      <c r="J29" s="9">
        <f t="shared" si="1"/>
        <v>12049</v>
      </c>
      <c r="K29" s="9">
        <v>10185</v>
      </c>
      <c r="L29" s="9">
        <v>0</v>
      </c>
      <c r="M29" s="9">
        <f t="shared" si="6"/>
        <v>1790</v>
      </c>
      <c r="N29" s="9">
        <v>101864</v>
      </c>
      <c r="O29" s="9" t="s">
        <v>79</v>
      </c>
      <c r="P29" s="3">
        <v>0</v>
      </c>
      <c r="Q29" s="3">
        <v>9</v>
      </c>
      <c r="R29" s="3" t="s">
        <v>78</v>
      </c>
      <c r="S29" s="3">
        <v>181</v>
      </c>
      <c r="T29" s="3">
        <v>53</v>
      </c>
      <c r="U29" s="3">
        <v>46</v>
      </c>
      <c r="V29" s="3">
        <v>3</v>
      </c>
      <c r="W29" s="3">
        <v>3</v>
      </c>
      <c r="X29" s="11">
        <f t="shared" si="3"/>
        <v>4.1428571428571432</v>
      </c>
      <c r="Y29" s="9">
        <v>145</v>
      </c>
      <c r="Z29" s="9">
        <v>11</v>
      </c>
      <c r="AA29" s="9">
        <v>0</v>
      </c>
      <c r="AB29" s="9">
        <v>10</v>
      </c>
      <c r="AC29" s="9">
        <f t="shared" si="4"/>
        <v>11</v>
      </c>
      <c r="AD29" s="9">
        <f t="shared" si="5"/>
        <v>1</v>
      </c>
      <c r="AE29" s="82"/>
    </row>
    <row r="30" spans="2:31" ht="45" customHeight="1" x14ac:dyDescent="0.25">
      <c r="B30" s="80"/>
      <c r="C30" s="7">
        <v>46047</v>
      </c>
      <c r="D30" s="9">
        <v>0</v>
      </c>
      <c r="E30" s="9">
        <v>4</v>
      </c>
      <c r="F30" s="9">
        <v>0</v>
      </c>
      <c r="G30" s="9">
        <v>3</v>
      </c>
      <c r="H30" s="9">
        <f t="shared" si="0"/>
        <v>0</v>
      </c>
      <c r="I30" s="9">
        <v>0</v>
      </c>
      <c r="J30" s="9">
        <f t="shared" si="1"/>
        <v>0</v>
      </c>
      <c r="K30" s="9">
        <v>14026</v>
      </c>
      <c r="L30" s="9">
        <v>0</v>
      </c>
      <c r="M30" s="9">
        <f t="shared" si="6"/>
        <v>-14026</v>
      </c>
      <c r="N30" s="9">
        <v>99331</v>
      </c>
      <c r="O30" s="9" t="s">
        <v>77</v>
      </c>
      <c r="P30" s="3">
        <v>0</v>
      </c>
      <c r="Q30" s="3">
        <v>14</v>
      </c>
      <c r="R30" s="3" t="s">
        <v>78</v>
      </c>
      <c r="S30" s="3">
        <v>181</v>
      </c>
      <c r="T30" s="3">
        <v>0</v>
      </c>
      <c r="U30" s="3">
        <v>0</v>
      </c>
      <c r="V30" s="3">
        <v>0</v>
      </c>
      <c r="W30" s="3">
        <v>0</v>
      </c>
      <c r="X30" s="11">
        <f t="shared" si="3"/>
        <v>1.7142857142857142</v>
      </c>
      <c r="Y30" s="9">
        <v>60</v>
      </c>
      <c r="Z30" s="9">
        <v>0</v>
      </c>
      <c r="AA30" s="9">
        <v>0</v>
      </c>
      <c r="AB30" s="9">
        <v>13</v>
      </c>
      <c r="AC30" s="9">
        <f t="shared" si="4"/>
        <v>0</v>
      </c>
      <c r="AD30" s="9">
        <f t="shared" si="5"/>
        <v>-13</v>
      </c>
      <c r="AE30" s="82"/>
    </row>
    <row r="31" spans="2:31" ht="45" customHeight="1" x14ac:dyDescent="0.25">
      <c r="B31" s="80"/>
      <c r="C31" s="7">
        <v>46048</v>
      </c>
      <c r="D31" s="9">
        <v>14692</v>
      </c>
      <c r="E31" s="9">
        <v>1</v>
      </c>
      <c r="F31" s="9">
        <v>13892</v>
      </c>
      <c r="G31" s="9">
        <v>2</v>
      </c>
      <c r="H31" s="9">
        <f t="shared" si="0"/>
        <v>28584</v>
      </c>
      <c r="I31" s="9">
        <v>9060</v>
      </c>
      <c r="J31" s="9">
        <f t="shared" si="1"/>
        <v>-19524</v>
      </c>
      <c r="K31" s="9">
        <v>16888</v>
      </c>
      <c r="L31" s="9">
        <v>920</v>
      </c>
      <c r="M31" s="9">
        <f t="shared" si="6"/>
        <v>10776</v>
      </c>
      <c r="N31" s="9">
        <v>90627</v>
      </c>
      <c r="O31" s="9" t="s">
        <v>77</v>
      </c>
      <c r="P31" s="3">
        <v>0</v>
      </c>
      <c r="Q31" s="3">
        <v>2</v>
      </c>
      <c r="R31" s="3" t="s">
        <v>78</v>
      </c>
      <c r="S31" s="3">
        <v>223</v>
      </c>
      <c r="T31" s="3">
        <v>86</v>
      </c>
      <c r="U31" s="3">
        <v>117</v>
      </c>
      <c r="V31" s="3">
        <v>8</v>
      </c>
      <c r="W31" s="3">
        <v>8</v>
      </c>
      <c r="X31" s="11">
        <f t="shared" si="3"/>
        <v>4.0285714285714285</v>
      </c>
      <c r="Y31" s="9">
        <v>141</v>
      </c>
      <c r="Z31" s="9">
        <v>15</v>
      </c>
      <c r="AA31" s="9">
        <v>14</v>
      </c>
      <c r="AB31" s="9">
        <v>20</v>
      </c>
      <c r="AC31" s="9">
        <f t="shared" si="4"/>
        <v>29</v>
      </c>
      <c r="AD31" s="9">
        <f t="shared" si="5"/>
        <v>9</v>
      </c>
      <c r="AE31" s="82"/>
    </row>
    <row r="32" spans="2:31" ht="45" customHeight="1" x14ac:dyDescent="0.25">
      <c r="B32" s="80"/>
      <c r="C32" s="7">
        <v>46049</v>
      </c>
      <c r="D32" s="9">
        <v>12965</v>
      </c>
      <c r="E32" s="9">
        <v>1</v>
      </c>
      <c r="F32" s="9">
        <v>6303</v>
      </c>
      <c r="G32" s="9">
        <v>2</v>
      </c>
      <c r="H32" s="9">
        <f t="shared" si="0"/>
        <v>19268</v>
      </c>
      <c r="I32" s="9">
        <v>25315</v>
      </c>
      <c r="J32" s="9">
        <f t="shared" si="1"/>
        <v>6047</v>
      </c>
      <c r="K32" s="9">
        <v>14416</v>
      </c>
      <c r="L32" s="9">
        <v>0</v>
      </c>
      <c r="M32" s="9">
        <f t="shared" si="6"/>
        <v>4852</v>
      </c>
      <c r="N32" s="9">
        <v>99165</v>
      </c>
      <c r="O32" s="9" t="s">
        <v>79</v>
      </c>
      <c r="P32" s="3">
        <v>0</v>
      </c>
      <c r="Q32" s="3">
        <v>0</v>
      </c>
      <c r="R32" s="3" t="s">
        <v>80</v>
      </c>
      <c r="S32" s="3">
        <v>214</v>
      </c>
      <c r="T32" s="3">
        <v>76</v>
      </c>
      <c r="U32" s="3">
        <v>106</v>
      </c>
      <c r="V32" s="3">
        <v>7</v>
      </c>
      <c r="W32" s="3">
        <v>8</v>
      </c>
      <c r="X32" s="11">
        <f t="shared" si="3"/>
        <v>7.628571428571429</v>
      </c>
      <c r="Y32" s="9">
        <v>267</v>
      </c>
      <c r="Z32" s="9">
        <v>12</v>
      </c>
      <c r="AA32" s="9">
        <v>6</v>
      </c>
      <c r="AB32" s="9">
        <v>17</v>
      </c>
      <c r="AC32" s="9">
        <f t="shared" si="4"/>
        <v>18</v>
      </c>
      <c r="AD32" s="9">
        <f t="shared" si="5"/>
        <v>1</v>
      </c>
      <c r="AE32" s="82"/>
    </row>
    <row r="33" spans="2:31" ht="45" customHeight="1" x14ac:dyDescent="0.25">
      <c r="B33" s="80"/>
      <c r="C33" s="7">
        <v>46050</v>
      </c>
      <c r="D33" s="9">
        <v>11255</v>
      </c>
      <c r="E33" s="9">
        <v>4</v>
      </c>
      <c r="F33" s="9">
        <v>2098</v>
      </c>
      <c r="G33" s="9">
        <v>3</v>
      </c>
      <c r="H33" s="9">
        <f t="shared" si="0"/>
        <v>13353</v>
      </c>
      <c r="I33" s="9">
        <v>24444</v>
      </c>
      <c r="J33" s="9">
        <f t="shared" si="1"/>
        <v>11091</v>
      </c>
      <c r="K33" s="9">
        <v>10479</v>
      </c>
      <c r="L33" s="9">
        <v>0</v>
      </c>
      <c r="M33" s="9">
        <f t="shared" si="6"/>
        <v>2874</v>
      </c>
      <c r="N33" s="9">
        <v>106805</v>
      </c>
      <c r="O33" s="9" t="s">
        <v>77</v>
      </c>
      <c r="P33" s="3">
        <v>0</v>
      </c>
      <c r="Q33" s="3">
        <v>0</v>
      </c>
      <c r="R33" s="3" t="s">
        <v>80</v>
      </c>
      <c r="S33" s="3">
        <v>207</v>
      </c>
      <c r="T33" s="3">
        <v>68</v>
      </c>
      <c r="U33" s="3">
        <v>121</v>
      </c>
      <c r="V33" s="3">
        <v>6</v>
      </c>
      <c r="W33" s="3">
        <v>6</v>
      </c>
      <c r="X33" s="11">
        <f t="shared" si="3"/>
        <v>5.7714285714285714</v>
      </c>
      <c r="Y33" s="9">
        <v>202</v>
      </c>
      <c r="Z33" s="9">
        <v>13</v>
      </c>
      <c r="AA33" s="9">
        <v>2</v>
      </c>
      <c r="AB33" s="9">
        <v>12</v>
      </c>
      <c r="AC33" s="9">
        <f t="shared" si="4"/>
        <v>15</v>
      </c>
      <c r="AD33" s="9">
        <f t="shared" si="5"/>
        <v>3</v>
      </c>
      <c r="AE33" s="82"/>
    </row>
    <row r="34" spans="2:31" ht="45" customHeight="1" x14ac:dyDescent="0.25">
      <c r="B34" s="80"/>
      <c r="C34" s="7">
        <v>46051</v>
      </c>
      <c r="D34" s="9">
        <v>13858</v>
      </c>
      <c r="E34" s="9">
        <v>4</v>
      </c>
      <c r="F34" s="9">
        <v>9619</v>
      </c>
      <c r="G34" s="9">
        <v>3</v>
      </c>
      <c r="H34" s="9">
        <f t="shared" si="0"/>
        <v>23477</v>
      </c>
      <c r="I34" s="9">
        <v>24697</v>
      </c>
      <c r="J34" s="9">
        <f t="shared" si="1"/>
        <v>1220</v>
      </c>
      <c r="K34" s="9">
        <v>10887</v>
      </c>
      <c r="L34" s="9">
        <v>0</v>
      </c>
      <c r="M34" s="9">
        <f t="shared" si="6"/>
        <v>12590</v>
      </c>
      <c r="N34" s="9">
        <v>109097</v>
      </c>
      <c r="O34" s="9" t="s">
        <v>79</v>
      </c>
      <c r="P34" s="3">
        <v>0</v>
      </c>
      <c r="Q34" s="3">
        <v>0</v>
      </c>
      <c r="R34" s="3" t="s">
        <v>80</v>
      </c>
      <c r="S34" s="3">
        <v>186</v>
      </c>
      <c r="T34" s="3">
        <v>74</v>
      </c>
      <c r="U34" s="3">
        <v>121</v>
      </c>
      <c r="V34" s="3">
        <v>7</v>
      </c>
      <c r="W34" s="3">
        <v>7</v>
      </c>
      <c r="X34" s="11">
        <f t="shared" si="3"/>
        <v>8.5428571428571427</v>
      </c>
      <c r="Y34" s="9">
        <v>299</v>
      </c>
      <c r="Z34" s="9">
        <v>13</v>
      </c>
      <c r="AA34" s="9">
        <v>10</v>
      </c>
      <c r="AB34" s="9">
        <v>15</v>
      </c>
      <c r="AC34" s="9">
        <f t="shared" si="4"/>
        <v>23</v>
      </c>
      <c r="AD34" s="9">
        <f t="shared" si="5"/>
        <v>8</v>
      </c>
      <c r="AE34" s="82"/>
    </row>
    <row r="35" spans="2:31" ht="45" customHeight="1" x14ac:dyDescent="0.25">
      <c r="B35" s="80"/>
      <c r="C35" s="7">
        <v>46052</v>
      </c>
      <c r="D35" s="9">
        <v>14169</v>
      </c>
      <c r="E35" s="9">
        <v>1</v>
      </c>
      <c r="F35" s="9">
        <v>11643</v>
      </c>
      <c r="G35" s="9">
        <v>2</v>
      </c>
      <c r="H35" s="9">
        <f t="shared" ref="H35" si="7">SUM(D35+F35)</f>
        <v>25812</v>
      </c>
      <c r="I35" s="9">
        <v>21661</v>
      </c>
      <c r="J35" s="9">
        <f t="shared" ref="J35" si="8">I35-H35</f>
        <v>-4151</v>
      </c>
      <c r="K35" s="9">
        <v>22000</v>
      </c>
      <c r="L35" s="9">
        <v>1058</v>
      </c>
      <c r="M35" s="9">
        <f t="shared" ref="M35" si="9">H35-(K35+L35)</f>
        <v>2754</v>
      </c>
      <c r="N35" s="9">
        <v>108816</v>
      </c>
      <c r="O35" s="9" t="s">
        <v>77</v>
      </c>
      <c r="P35" s="3">
        <v>0</v>
      </c>
      <c r="Q35" s="3">
        <v>0</v>
      </c>
      <c r="R35" s="3" t="s">
        <v>80</v>
      </c>
      <c r="S35" s="3">
        <v>191</v>
      </c>
      <c r="T35" s="3"/>
      <c r="U35" s="3"/>
      <c r="V35" s="3"/>
      <c r="W35" s="3"/>
      <c r="X35" s="11">
        <f t="shared" ref="X35" si="10">Y35/35</f>
        <v>8.6857142857142851</v>
      </c>
      <c r="Y35" s="9">
        <v>304</v>
      </c>
      <c r="Z35" s="9"/>
      <c r="AA35" s="9"/>
      <c r="AB35" s="9">
        <v>20</v>
      </c>
      <c r="AC35" s="9">
        <f t="shared" ref="AC35" si="11">SUM(Z35+AA35)</f>
        <v>0</v>
      </c>
      <c r="AD35" s="9">
        <f t="shared" ref="AD35" si="12">AC35-AB35</f>
        <v>-20</v>
      </c>
      <c r="AE35" s="82"/>
    </row>
    <row r="36" spans="2:31" ht="45" customHeight="1" x14ac:dyDescent="0.25">
      <c r="B36" s="80"/>
      <c r="C36" s="7">
        <v>46053</v>
      </c>
      <c r="D36" s="9">
        <v>2015</v>
      </c>
      <c r="E36" s="9">
        <v>1</v>
      </c>
      <c r="F36" s="9">
        <v>0</v>
      </c>
      <c r="G36" s="9">
        <v>2</v>
      </c>
      <c r="H36" s="9">
        <f t="shared" si="0"/>
        <v>2015</v>
      </c>
      <c r="I36" s="9"/>
      <c r="J36" s="9">
        <f t="shared" si="1"/>
        <v>-2015</v>
      </c>
      <c r="K36" s="9"/>
      <c r="L36" s="9"/>
      <c r="M36" s="9">
        <f t="shared" si="6"/>
        <v>2015</v>
      </c>
      <c r="N36" s="9"/>
      <c r="O36" s="9"/>
      <c r="P36" s="3"/>
      <c r="Q36" s="3"/>
      <c r="R36" s="3"/>
      <c r="S36" s="3"/>
      <c r="T36" s="3"/>
      <c r="U36" s="3"/>
      <c r="V36" s="3"/>
      <c r="W36" s="3"/>
      <c r="X36" s="11">
        <f t="shared" si="3"/>
        <v>0</v>
      </c>
      <c r="Y36" s="9"/>
      <c r="Z36" s="9"/>
      <c r="AA36" s="9"/>
      <c r="AB36" s="9"/>
      <c r="AC36" s="9">
        <f t="shared" ref="AC36" si="13">SUM(Z36+AA36)</f>
        <v>0</v>
      </c>
      <c r="AD36" s="9">
        <f t="shared" si="5"/>
        <v>0</v>
      </c>
      <c r="AE36" s="82"/>
    </row>
    <row r="37" spans="2:31" ht="63" x14ac:dyDescent="0.25">
      <c r="B37" s="80"/>
      <c r="C37" s="15" t="s">
        <v>30</v>
      </c>
      <c r="D37" s="16">
        <f>SUM(D6:D36)</f>
        <v>372449</v>
      </c>
      <c r="E37" s="16"/>
      <c r="F37" s="16">
        <f>SUM(F6:F36)</f>
        <v>249952</v>
      </c>
      <c r="G37" s="16"/>
      <c r="H37" s="16">
        <f>SUM(H6:H36)</f>
        <v>622401</v>
      </c>
      <c r="I37" s="16">
        <f>SUM(I6:I36)</f>
        <v>574815</v>
      </c>
      <c r="J37" s="16">
        <f>I37-H37</f>
        <v>-47586</v>
      </c>
      <c r="K37" s="16">
        <f>SUM(K6:K36)</f>
        <v>463095</v>
      </c>
      <c r="L37" s="16">
        <f>SUM(L6:L36)</f>
        <v>19193</v>
      </c>
      <c r="M37" s="16">
        <f>H37-K37</f>
        <v>159306</v>
      </c>
      <c r="N37" s="16">
        <f>AVERAGE(N6:N36)</f>
        <v>105521.8</v>
      </c>
      <c r="O37" s="16"/>
      <c r="P37" s="17">
        <f>AVERAGE(P6:P36)</f>
        <v>0</v>
      </c>
      <c r="Q37" s="18">
        <f>AVERAGE(Q6:Q36)</f>
        <v>2.2000000000000002</v>
      </c>
      <c r="R37" s="18"/>
      <c r="S37" s="18">
        <f t="shared" ref="S37:Y37" si="14">AVERAGE(S6:S36)</f>
        <v>188.16666666666666</v>
      </c>
      <c r="T37" s="18">
        <f t="shared" si="14"/>
        <v>84.310344827586206</v>
      </c>
      <c r="U37" s="18">
        <f t="shared" si="14"/>
        <v>88.41379310344827</v>
      </c>
      <c r="V37" s="18">
        <f t="shared" si="14"/>
        <v>6.4827586206896548</v>
      </c>
      <c r="W37" s="18">
        <f t="shared" si="14"/>
        <v>6.6206896551724137</v>
      </c>
      <c r="X37" s="18">
        <f t="shared" si="14"/>
        <v>6.9695852534562217</v>
      </c>
      <c r="Y37" s="16">
        <f t="shared" si="14"/>
        <v>252.06666666666666</v>
      </c>
      <c r="Z37" s="16">
        <f>AVERAGE(Z6:Z36)</f>
        <v>11.827586206896552</v>
      </c>
      <c r="AA37" s="16">
        <f>AVERAGE(AA6:AA36)</f>
        <v>8.1034482758620694</v>
      </c>
      <c r="AB37" s="16">
        <f>AVERAGE(AB6:AB36)</f>
        <v>19.399999999999999</v>
      </c>
      <c r="AC37" s="16">
        <f>AVERAGE(AC6:AC36)</f>
        <v>18.64516129032258</v>
      </c>
      <c r="AD37" s="16">
        <f>AVERAGE(AD6:AD36)</f>
        <v>-0.12903225806451613</v>
      </c>
      <c r="AE37" s="82"/>
    </row>
    <row r="38" spans="2:31" ht="34.5" x14ac:dyDescent="0.55000000000000004">
      <c r="B38" s="80"/>
      <c r="C38" s="19"/>
      <c r="H38" s="19"/>
      <c r="I38" s="12"/>
      <c r="J38" s="20"/>
      <c r="K38" s="20"/>
      <c r="L38" s="20"/>
      <c r="S38" s="21"/>
      <c r="T38" s="19"/>
      <c r="U38" s="19"/>
      <c r="V38" s="22"/>
      <c r="W38" s="19"/>
      <c r="X38" s="19"/>
      <c r="Y38" s="19"/>
      <c r="Z38" s="19"/>
      <c r="AA38" s="19"/>
      <c r="AB38" s="19"/>
      <c r="AC38" s="67">
        <f>SUM(AC6:AC36)</f>
        <v>578</v>
      </c>
      <c r="AD38" s="19"/>
      <c r="AE38" s="82"/>
    </row>
    <row r="39" spans="2:31" ht="49.5" customHeight="1" x14ac:dyDescent="0.25"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6"/>
    </row>
  </sheetData>
  <autoFilter ref="C5:AD38" xr:uid="{202AF9FD-3824-481E-91A2-0FB2D8268C39}"/>
  <mergeCells count="8">
    <mergeCell ref="B39:AE39"/>
    <mergeCell ref="B2:AE2"/>
    <mergeCell ref="B3:B38"/>
    <mergeCell ref="C3:AD3"/>
    <mergeCell ref="AE3:AE38"/>
    <mergeCell ref="D4:E4"/>
    <mergeCell ref="F4:G4"/>
    <mergeCell ref="H4:Y4"/>
  </mergeCells>
  <conditionalFormatting sqref="D6:D36">
    <cfRule type="cellIs" dxfId="670" priority="15" operator="lessThan">
      <formula>15499</formula>
    </cfRule>
    <cfRule type="cellIs" dxfId="669" priority="16" operator="greaterThan">
      <formula>15501</formula>
    </cfRule>
  </conditionalFormatting>
  <conditionalFormatting sqref="E6:E36 G6:G36">
    <cfRule type="containsText" dxfId="668" priority="29" operator="containsText" text="2">
      <formula>NOT(ISERROR(SEARCH("2",E6)))</formula>
    </cfRule>
    <cfRule type="containsText" dxfId="667" priority="30" operator="containsText" text="1">
      <formula>NOT(ISERROR(SEARCH("1",E6)))</formula>
    </cfRule>
    <cfRule type="containsText" dxfId="666" priority="27" operator="containsText" text="4">
      <formula>NOT(ISERROR(SEARCH("4",E6)))</formula>
    </cfRule>
    <cfRule type="containsText" dxfId="665" priority="28" operator="containsText" text="3">
      <formula>NOT(ISERROR(SEARCH("3",E6)))</formula>
    </cfRule>
  </conditionalFormatting>
  <conditionalFormatting sqref="F6:F36">
    <cfRule type="cellIs" dxfId="664" priority="39" operator="lessThan">
      <formula>12799</formula>
    </cfRule>
    <cfRule type="cellIs" dxfId="663" priority="43" operator="greaterThan">
      <formula>12801</formula>
    </cfRule>
    <cfRule type="cellIs" dxfId="662" priority="40" operator="greaterThan">
      <formula>12801</formula>
    </cfRule>
  </conditionalFormatting>
  <conditionalFormatting sqref="H6:H36">
    <cfRule type="cellIs" dxfId="661" priority="33" operator="greaterThan">
      <formula>25501</formula>
    </cfRule>
    <cfRule type="cellIs" dxfId="660" priority="32" operator="lessThan">
      <formula>25499</formula>
    </cfRule>
    <cfRule type="cellIs" dxfId="659" priority="51" operator="greaterThan">
      <formula>24999</formula>
    </cfRule>
    <cfRule type="cellIs" dxfId="658" priority="50" operator="lessThan">
      <formula>24999</formula>
    </cfRule>
    <cfRule type="cellIs" dxfId="657" priority="49" operator="equal">
      <formula>25000</formula>
    </cfRule>
  </conditionalFormatting>
  <conditionalFormatting sqref="H37">
    <cfRule type="cellIs" dxfId="656" priority="18" operator="lessThan">
      <formula>$I$37</formula>
    </cfRule>
    <cfRule type="cellIs" dxfId="655" priority="17" operator="greaterThan">
      <formula>$I$37</formula>
    </cfRule>
  </conditionalFormatting>
  <conditionalFormatting sqref="J6:J36">
    <cfRule type="cellIs" dxfId="654" priority="48" operator="lessThan">
      <formula>1</formula>
    </cfRule>
  </conditionalFormatting>
  <conditionalFormatting sqref="J6:J37">
    <cfRule type="cellIs" dxfId="653" priority="24" operator="greaterThan">
      <formula>1</formula>
    </cfRule>
  </conditionalFormatting>
  <conditionalFormatting sqref="J37">
    <cfRule type="cellIs" dxfId="652" priority="23" operator="lessThan">
      <formula>0</formula>
    </cfRule>
  </conditionalFormatting>
  <conditionalFormatting sqref="M6:M37">
    <cfRule type="cellIs" dxfId="651" priority="21" operator="lessThan">
      <formula>1</formula>
    </cfRule>
    <cfRule type="cellIs" dxfId="650" priority="22" operator="greaterThan">
      <formula>1</formula>
    </cfRule>
  </conditionalFormatting>
  <conditionalFormatting sqref="O6:O36">
    <cfRule type="containsText" dxfId="649" priority="25" operator="containsText" text="X">
      <formula>NOT(ISERROR(SEARCH("X",O6)))</formula>
    </cfRule>
    <cfRule type="containsText" dxfId="648" priority="26" operator="containsText" text="W">
      <formula>NOT(ISERROR(SEARCH("W",O6)))</formula>
    </cfRule>
  </conditionalFormatting>
  <conditionalFormatting sqref="O8:O36">
    <cfRule type="containsText" dxfId="647" priority="60" operator="containsText" text="W">
      <formula>NOT(ISERROR(SEARCH("W",O8)))</formula>
    </cfRule>
    <cfRule type="containsText" dxfId="646" priority="59" operator="containsText" text="X">
      <formula>NOT(ISERROR(SEARCH("X",O8)))</formula>
    </cfRule>
  </conditionalFormatting>
  <conditionalFormatting sqref="P6:P36">
    <cfRule type="cellIs" dxfId="645" priority="56" operator="equal">
      <formula>1</formula>
    </cfRule>
    <cfRule type="cellIs" dxfId="644" priority="57" operator="lessThan">
      <formula>1</formula>
    </cfRule>
    <cfRule type="cellIs" dxfId="643" priority="58" operator="greaterThan">
      <formula>1</formula>
    </cfRule>
  </conditionalFormatting>
  <conditionalFormatting sqref="R6:R36">
    <cfRule type="containsText" dxfId="642" priority="31" operator="containsText" text="Y">
      <formula>NOT(ISERROR(SEARCH("Y",R6)))</formula>
    </cfRule>
    <cfRule type="containsText" dxfId="641" priority="41" operator="containsText" text="N">
      <formula>NOT(ISERROR(SEARCH("N",R6)))</formula>
    </cfRule>
    <cfRule type="containsText" dxfId="640" priority="42" operator="containsText" text="Y">
      <formula>NOT(ISERROR(SEARCH("Y",R6)))</formula>
    </cfRule>
  </conditionalFormatting>
  <conditionalFormatting sqref="S6:S36">
    <cfRule type="cellIs" dxfId="639" priority="52" operator="between">
      <formula>40</formula>
      <formula>49</formula>
    </cfRule>
    <cfRule type="cellIs" dxfId="638" priority="53" operator="lessThan">
      <formula>49</formula>
    </cfRule>
    <cfRule type="cellIs" dxfId="637" priority="55" operator="equal">
      <formula>40</formula>
    </cfRule>
    <cfRule type="cellIs" dxfId="636" priority="54" operator="greaterThan">
      <formula>49</formula>
    </cfRule>
  </conditionalFormatting>
  <conditionalFormatting sqref="T6:T36">
    <cfRule type="cellIs" dxfId="635" priority="44" operator="lessThan">
      <formula>71</formula>
    </cfRule>
    <cfRule type="cellIs" dxfId="634" priority="45" operator="greaterThan">
      <formula>72</formula>
    </cfRule>
  </conditionalFormatting>
  <conditionalFormatting sqref="T6:U36">
    <cfRule type="cellIs" dxfId="633" priority="37" operator="lessThan">
      <formula>71</formula>
    </cfRule>
    <cfRule type="cellIs" dxfId="632" priority="38" operator="greaterThan">
      <formula>73</formula>
    </cfRule>
    <cfRule type="cellIs" dxfId="631" priority="8" operator="lessThan">
      <formula>75</formula>
    </cfRule>
    <cfRule type="cellIs" dxfId="630" priority="9" operator="greaterThan">
      <formula>76</formula>
    </cfRule>
  </conditionalFormatting>
  <conditionalFormatting sqref="U6:U36">
    <cfRule type="cellIs" dxfId="629" priority="46" operator="lessThan">
      <formula>79</formula>
    </cfRule>
    <cfRule type="cellIs" dxfId="628" priority="47" operator="greaterThan">
      <formula>80</formula>
    </cfRule>
  </conditionalFormatting>
  <conditionalFormatting sqref="V6:W36">
    <cfRule type="cellIs" dxfId="627" priority="2" operator="equal">
      <formula>7</formula>
    </cfRule>
    <cfRule type="cellIs" dxfId="626" priority="3" operator="greaterThan">
      <formula>7</formula>
    </cfRule>
    <cfRule type="cellIs" dxfId="625" priority="1" operator="lessThan">
      <formula>7</formula>
    </cfRule>
  </conditionalFormatting>
  <conditionalFormatting sqref="X6:X36">
    <cfRule type="cellIs" dxfId="624" priority="35" operator="lessThan">
      <formula>39</formula>
    </cfRule>
    <cfRule type="cellIs" dxfId="623" priority="36" operator="greaterThan">
      <formula>41</formula>
    </cfRule>
    <cfRule type="cellIs" dxfId="622" priority="34" operator="equal">
      <formula>40</formula>
    </cfRule>
  </conditionalFormatting>
  <conditionalFormatting sqref="X6:X37">
    <cfRule type="cellIs" dxfId="621" priority="20" operator="greaterThan">
      <formula>25</formula>
    </cfRule>
    <cfRule type="cellIs" dxfId="620" priority="19" operator="lessThan">
      <formula>25</formula>
    </cfRule>
  </conditionalFormatting>
  <conditionalFormatting sqref="Y6:Y36">
    <cfRule type="cellIs" dxfId="619" priority="11" operator="lessThan">
      <formula>874</formula>
    </cfRule>
    <cfRule type="cellIs" dxfId="618" priority="10" operator="greaterThan">
      <formula>876</formula>
    </cfRule>
  </conditionalFormatting>
  <conditionalFormatting sqref="AD6:AD36">
    <cfRule type="cellIs" dxfId="617" priority="6" operator="lessThan">
      <formula>-1</formula>
    </cfRule>
    <cfRule type="cellIs" dxfId="616" priority="7" operator="greaterThan">
      <formula>0</formula>
    </cfRule>
  </conditionalFormatting>
  <printOptions horizontalCentered="1" verticalCentered="1"/>
  <pageMargins left="0" right="0" top="0" bottom="0" header="0" footer="0"/>
  <pageSetup scale="21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D4AD-08FF-4747-B29B-4C8FA39E64CB}">
  <dimension ref="B1:AE36"/>
  <sheetViews>
    <sheetView tabSelected="1" zoomScale="40" zoomScaleNormal="40" workbookViewId="0">
      <selection activeCell="U25" sqref="U25"/>
    </sheetView>
  </sheetViews>
  <sheetFormatPr defaultColWidth="18.125" defaultRowHeight="49.5" customHeight="1" x14ac:dyDescent="0.25"/>
  <cols>
    <col min="2" max="2" width="12" customWidth="1"/>
    <col min="3" max="3" width="27.1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30" width="15.625" customWidth="1"/>
    <col min="31" max="31" width="11.875" customWidth="1"/>
  </cols>
  <sheetData>
    <row r="1" spans="2:31" ht="98.25" customHeight="1" x14ac:dyDescent="0.25"/>
    <row r="2" spans="2:31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2:31" ht="93.75" x14ac:dyDescent="0.25">
      <c r="B3" s="80"/>
      <c r="C3" s="81" t="s">
        <v>32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2"/>
    </row>
    <row r="4" spans="2:31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2"/>
      <c r="AA4" s="2"/>
      <c r="AB4" s="2"/>
      <c r="AC4" s="2"/>
      <c r="AD4" s="2"/>
      <c r="AE4" s="82"/>
    </row>
    <row r="5" spans="2:31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24</v>
      </c>
      <c r="Z5" s="5" t="s">
        <v>25</v>
      </c>
      <c r="AA5" s="6" t="s">
        <v>26</v>
      </c>
      <c r="AB5" s="4" t="s">
        <v>27</v>
      </c>
      <c r="AC5" s="4" t="s">
        <v>28</v>
      </c>
      <c r="AD5" s="4" t="s">
        <v>29</v>
      </c>
      <c r="AE5" s="82"/>
    </row>
    <row r="6" spans="2:31" ht="31.5" x14ac:dyDescent="0.25">
      <c r="B6" s="80"/>
      <c r="C6" s="7">
        <v>46054</v>
      </c>
      <c r="D6" s="68">
        <v>0</v>
      </c>
      <c r="E6" s="68">
        <v>1</v>
      </c>
      <c r="F6" s="68">
        <v>0</v>
      </c>
      <c r="G6" s="68">
        <v>2</v>
      </c>
      <c r="H6" s="68">
        <f t="shared" ref="H6:H33" si="0">SUM(D6+F6)</f>
        <v>0</v>
      </c>
      <c r="I6" s="68">
        <v>0</v>
      </c>
      <c r="J6" s="68">
        <f t="shared" ref="J6:J33" si="1">I6-H6</f>
        <v>0</v>
      </c>
      <c r="K6" s="68">
        <v>0</v>
      </c>
      <c r="L6" s="68">
        <v>0</v>
      </c>
      <c r="M6" s="68">
        <f>H6-(K6+L6)</f>
        <v>0</v>
      </c>
      <c r="N6" s="68"/>
      <c r="O6" s="68"/>
      <c r="P6" s="69"/>
      <c r="Q6" s="69"/>
      <c r="R6" s="69"/>
      <c r="S6" s="69"/>
      <c r="T6" s="69">
        <v>0</v>
      </c>
      <c r="U6" s="69">
        <v>0</v>
      </c>
      <c r="V6" s="69">
        <v>0</v>
      </c>
      <c r="W6" s="69">
        <v>0</v>
      </c>
      <c r="X6" s="70">
        <f t="shared" ref="X6:X33" si="2">Y6/35</f>
        <v>0</v>
      </c>
      <c r="Y6" s="68"/>
      <c r="Z6" s="68">
        <v>0</v>
      </c>
      <c r="AA6" s="68">
        <v>0</v>
      </c>
      <c r="AB6" s="68">
        <v>0</v>
      </c>
      <c r="AC6" s="68">
        <f t="shared" ref="AC6:AC33" si="3">SUM(Z6+AA6)</f>
        <v>0</v>
      </c>
      <c r="AD6" s="68">
        <f t="shared" ref="AD6:AD33" si="4">AC6-AB6</f>
        <v>0</v>
      </c>
      <c r="AE6" s="82"/>
    </row>
    <row r="7" spans="2:31" ht="31.5" x14ac:dyDescent="0.25">
      <c r="B7" s="80"/>
      <c r="C7" s="7">
        <v>46055</v>
      </c>
      <c r="D7" s="8">
        <v>13386</v>
      </c>
      <c r="E7" s="9">
        <v>3</v>
      </c>
      <c r="F7" s="9">
        <v>12033</v>
      </c>
      <c r="G7" s="9">
        <v>4</v>
      </c>
      <c r="H7" s="9">
        <f t="shared" si="0"/>
        <v>25419</v>
      </c>
      <c r="I7" s="9">
        <v>6449</v>
      </c>
      <c r="J7" s="9">
        <f t="shared" si="1"/>
        <v>-18970</v>
      </c>
      <c r="K7" s="9">
        <v>10027</v>
      </c>
      <c r="L7" s="9">
        <v>2306</v>
      </c>
      <c r="M7" s="9">
        <f t="shared" ref="M7:M33" si="5">H7-(K7+L7)</f>
        <v>13086</v>
      </c>
      <c r="N7" s="9">
        <v>101256</v>
      </c>
      <c r="O7" s="9" t="s">
        <v>77</v>
      </c>
      <c r="P7" s="3">
        <v>0</v>
      </c>
      <c r="Q7" s="3">
        <v>7</v>
      </c>
      <c r="R7" s="3" t="s">
        <v>78</v>
      </c>
      <c r="S7" s="3">
        <v>202</v>
      </c>
      <c r="T7" s="3">
        <v>68</v>
      </c>
      <c r="U7" s="3">
        <v>65</v>
      </c>
      <c r="V7" s="3">
        <v>8</v>
      </c>
      <c r="W7" s="10">
        <v>8</v>
      </c>
      <c r="X7" s="11">
        <f t="shared" si="2"/>
        <v>3.8285714285714287</v>
      </c>
      <c r="Y7" s="9">
        <v>134</v>
      </c>
      <c r="Z7" s="9">
        <v>13</v>
      </c>
      <c r="AA7" s="9">
        <v>12</v>
      </c>
      <c r="AB7" s="9">
        <v>9</v>
      </c>
      <c r="AC7" s="9">
        <f t="shared" si="3"/>
        <v>25</v>
      </c>
      <c r="AD7" s="9">
        <f t="shared" si="4"/>
        <v>16</v>
      </c>
      <c r="AE7" s="82"/>
    </row>
    <row r="8" spans="2:31" ht="31.5" x14ac:dyDescent="0.25">
      <c r="B8" s="80"/>
      <c r="C8" s="7">
        <v>46056</v>
      </c>
      <c r="D8" s="9">
        <v>19341</v>
      </c>
      <c r="E8" s="9">
        <v>3</v>
      </c>
      <c r="F8" s="9">
        <v>12301</v>
      </c>
      <c r="G8" s="9">
        <v>4</v>
      </c>
      <c r="H8" s="9">
        <f>SUM(D8+F8)</f>
        <v>31642</v>
      </c>
      <c r="I8" s="9">
        <v>23648</v>
      </c>
      <c r="J8" s="9">
        <f>I8-H8</f>
        <v>-7994</v>
      </c>
      <c r="K8" s="9">
        <v>18418</v>
      </c>
      <c r="L8" s="9">
        <v>0</v>
      </c>
      <c r="M8" s="9">
        <f>H8-(K8+L8)</f>
        <v>13224</v>
      </c>
      <c r="N8" s="9">
        <v>92778</v>
      </c>
      <c r="O8" s="3" t="s">
        <v>77</v>
      </c>
      <c r="P8" s="3">
        <v>0</v>
      </c>
      <c r="Q8" s="3">
        <v>4</v>
      </c>
      <c r="R8" s="3" t="s">
        <v>78</v>
      </c>
      <c r="S8" s="3">
        <v>208</v>
      </c>
      <c r="T8" s="3">
        <v>90</v>
      </c>
      <c r="U8" s="3">
        <v>119</v>
      </c>
      <c r="V8" s="10">
        <v>8</v>
      </c>
      <c r="W8" s="10">
        <v>8</v>
      </c>
      <c r="X8" s="11">
        <f t="shared" si="2"/>
        <v>25.37142857142857</v>
      </c>
      <c r="Y8" s="9">
        <v>888</v>
      </c>
      <c r="Z8" s="9">
        <v>17</v>
      </c>
      <c r="AA8" s="9">
        <v>12</v>
      </c>
      <c r="AB8" s="9">
        <v>17</v>
      </c>
      <c r="AC8" s="9">
        <f t="shared" si="3"/>
        <v>29</v>
      </c>
      <c r="AD8" s="9">
        <f t="shared" si="4"/>
        <v>12</v>
      </c>
      <c r="AE8" s="82"/>
    </row>
    <row r="9" spans="2:31" ht="31.5" x14ac:dyDescent="0.25">
      <c r="B9" s="80"/>
      <c r="C9" s="7">
        <v>46057</v>
      </c>
      <c r="D9" s="9">
        <v>17897</v>
      </c>
      <c r="E9" s="9">
        <v>1</v>
      </c>
      <c r="F9" s="9">
        <v>5882</v>
      </c>
      <c r="G9" s="9">
        <v>2</v>
      </c>
      <c r="H9" s="9">
        <f>SUM(D9+F9)</f>
        <v>23779</v>
      </c>
      <c r="I9" s="9">
        <v>24721</v>
      </c>
      <c r="J9" s="9">
        <f t="shared" si="1"/>
        <v>942</v>
      </c>
      <c r="K9" s="9">
        <v>19240</v>
      </c>
      <c r="L9" s="9">
        <v>0</v>
      </c>
      <c r="M9" s="9">
        <f t="shared" si="5"/>
        <v>4539</v>
      </c>
      <c r="N9" s="9">
        <v>95821</v>
      </c>
      <c r="O9" s="3" t="s">
        <v>79</v>
      </c>
      <c r="P9" s="3">
        <v>0</v>
      </c>
      <c r="Q9" s="3">
        <v>0</v>
      </c>
      <c r="R9" s="3" t="s">
        <v>80</v>
      </c>
      <c r="S9" s="3">
        <v>205</v>
      </c>
      <c r="T9" s="3">
        <v>80</v>
      </c>
      <c r="U9" s="3">
        <v>59</v>
      </c>
      <c r="V9" s="3">
        <v>8</v>
      </c>
      <c r="W9" s="10">
        <v>8</v>
      </c>
      <c r="X9" s="11">
        <f t="shared" si="2"/>
        <v>18.885714285714286</v>
      </c>
      <c r="Y9" s="9">
        <v>661</v>
      </c>
      <c r="Z9" s="9">
        <v>18</v>
      </c>
      <c r="AA9" s="9">
        <v>6</v>
      </c>
      <c r="AB9" s="9">
        <v>22</v>
      </c>
      <c r="AC9" s="9">
        <f t="shared" si="3"/>
        <v>24</v>
      </c>
      <c r="AD9" s="9">
        <f t="shared" si="4"/>
        <v>2</v>
      </c>
      <c r="AE9" s="82"/>
    </row>
    <row r="10" spans="2:31" ht="31.5" x14ac:dyDescent="0.25">
      <c r="B10" s="80"/>
      <c r="C10" s="7">
        <v>46058</v>
      </c>
      <c r="D10" s="9">
        <v>13457</v>
      </c>
      <c r="E10" s="9">
        <v>1</v>
      </c>
      <c r="F10" s="9">
        <v>3930</v>
      </c>
      <c r="G10" s="9">
        <v>2</v>
      </c>
      <c r="H10" s="9">
        <f t="shared" si="0"/>
        <v>17387</v>
      </c>
      <c r="I10" s="9">
        <v>24190</v>
      </c>
      <c r="J10" s="9">
        <f t="shared" si="1"/>
        <v>6803</v>
      </c>
      <c r="K10" s="9">
        <v>11160</v>
      </c>
      <c r="L10" s="9">
        <v>0</v>
      </c>
      <c r="M10" s="9">
        <f t="shared" si="5"/>
        <v>6227</v>
      </c>
      <c r="N10" s="9">
        <v>103518</v>
      </c>
      <c r="O10" s="9" t="s">
        <v>79</v>
      </c>
      <c r="P10" s="3">
        <v>0</v>
      </c>
      <c r="Q10" s="3">
        <v>0</v>
      </c>
      <c r="R10" s="3" t="s">
        <v>80</v>
      </c>
      <c r="S10" s="3">
        <v>189</v>
      </c>
      <c r="T10" s="3">
        <v>74</v>
      </c>
      <c r="U10" s="3">
        <v>89</v>
      </c>
      <c r="V10" s="10">
        <v>6</v>
      </c>
      <c r="W10" s="10">
        <v>6</v>
      </c>
      <c r="X10" s="11">
        <f t="shared" si="2"/>
        <v>14.228571428571428</v>
      </c>
      <c r="Y10" s="9">
        <v>498</v>
      </c>
      <c r="Z10" s="9">
        <v>13</v>
      </c>
      <c r="AA10" s="9">
        <v>4</v>
      </c>
      <c r="AB10" s="9">
        <v>15</v>
      </c>
      <c r="AC10" s="9">
        <f t="shared" si="3"/>
        <v>17</v>
      </c>
      <c r="AD10" s="9">
        <f t="shared" si="4"/>
        <v>2</v>
      </c>
      <c r="AE10" s="82"/>
    </row>
    <row r="11" spans="2:31" ht="31.5" x14ac:dyDescent="0.25">
      <c r="B11" s="80"/>
      <c r="C11" s="7">
        <v>46059</v>
      </c>
      <c r="D11" s="9">
        <v>18510</v>
      </c>
      <c r="E11" s="9">
        <v>3</v>
      </c>
      <c r="F11" s="9">
        <v>5459</v>
      </c>
      <c r="G11" s="9">
        <v>4</v>
      </c>
      <c r="H11" s="9">
        <f t="shared" si="0"/>
        <v>23969</v>
      </c>
      <c r="I11" s="73"/>
      <c r="J11" s="9">
        <f t="shared" si="1"/>
        <v>-23969</v>
      </c>
      <c r="K11" s="73"/>
      <c r="L11" s="73"/>
      <c r="M11" s="9">
        <f t="shared" si="5"/>
        <v>23969</v>
      </c>
      <c r="N11" s="73"/>
      <c r="O11" s="9"/>
      <c r="P11" s="3">
        <v>0</v>
      </c>
      <c r="Q11" s="3">
        <v>0</v>
      </c>
      <c r="R11" s="3" t="s">
        <v>80</v>
      </c>
      <c r="S11" s="3"/>
      <c r="T11" s="3">
        <v>93</v>
      </c>
      <c r="U11" s="3">
        <v>124</v>
      </c>
      <c r="V11" s="13">
        <v>8</v>
      </c>
      <c r="W11" s="10">
        <v>6</v>
      </c>
      <c r="X11" s="11">
        <f t="shared" si="2"/>
        <v>0</v>
      </c>
      <c r="Y11" s="73"/>
      <c r="Z11" s="9">
        <v>16</v>
      </c>
      <c r="AA11" s="9">
        <v>6</v>
      </c>
      <c r="AB11" s="73"/>
      <c r="AC11" s="9">
        <f t="shared" si="3"/>
        <v>22</v>
      </c>
      <c r="AD11" s="9">
        <f t="shared" si="4"/>
        <v>22</v>
      </c>
      <c r="AE11" s="82"/>
    </row>
    <row r="12" spans="2:31" ht="31.5" x14ac:dyDescent="0.25">
      <c r="B12" s="80"/>
      <c r="C12" s="7">
        <v>46060</v>
      </c>
      <c r="D12" s="9">
        <v>14446</v>
      </c>
      <c r="E12" s="9">
        <v>3</v>
      </c>
      <c r="F12" s="68"/>
      <c r="G12" s="9">
        <v>4</v>
      </c>
      <c r="H12" s="9">
        <f t="shared" si="0"/>
        <v>14446</v>
      </c>
      <c r="I12" s="73"/>
      <c r="J12" s="9">
        <f t="shared" si="1"/>
        <v>-14446</v>
      </c>
      <c r="K12" s="73"/>
      <c r="L12" s="73"/>
      <c r="M12" s="9">
        <f t="shared" si="5"/>
        <v>14446</v>
      </c>
      <c r="N12" s="73"/>
      <c r="O12" s="9"/>
      <c r="P12" s="3">
        <v>0</v>
      </c>
      <c r="Q12" s="3">
        <v>0</v>
      </c>
      <c r="R12" s="3" t="s">
        <v>80</v>
      </c>
      <c r="S12" s="3"/>
      <c r="T12" s="3">
        <v>100</v>
      </c>
      <c r="U12" s="3">
        <v>93</v>
      </c>
      <c r="V12" s="13">
        <v>0</v>
      </c>
      <c r="W12" s="10">
        <v>0</v>
      </c>
      <c r="X12" s="11">
        <f t="shared" si="2"/>
        <v>0</v>
      </c>
      <c r="Y12" s="73"/>
      <c r="Z12" s="9">
        <v>14</v>
      </c>
      <c r="AA12" s="9">
        <v>0</v>
      </c>
      <c r="AB12" s="73"/>
      <c r="AC12" s="9">
        <f t="shared" si="3"/>
        <v>14</v>
      </c>
      <c r="AD12" s="9">
        <f t="shared" si="4"/>
        <v>14</v>
      </c>
      <c r="AE12" s="82"/>
    </row>
    <row r="13" spans="2:31" ht="31.5" x14ac:dyDescent="0.25">
      <c r="B13" s="80"/>
      <c r="C13" s="7">
        <v>46061</v>
      </c>
      <c r="D13" s="9">
        <v>13922</v>
      </c>
      <c r="E13" s="9">
        <v>3</v>
      </c>
      <c r="F13" s="9">
        <v>7903</v>
      </c>
      <c r="G13" s="9">
        <v>4</v>
      </c>
      <c r="H13" s="9">
        <f t="shared" si="0"/>
        <v>21825</v>
      </c>
      <c r="I13" s="9">
        <v>19906</v>
      </c>
      <c r="J13" s="9">
        <f t="shared" si="1"/>
        <v>-1919</v>
      </c>
      <c r="K13" s="9">
        <v>16080</v>
      </c>
      <c r="L13" s="9">
        <v>0</v>
      </c>
      <c r="M13" s="9">
        <f t="shared" si="5"/>
        <v>5745</v>
      </c>
      <c r="N13" s="9">
        <v>110640</v>
      </c>
      <c r="O13" s="9"/>
      <c r="P13" s="3">
        <v>0</v>
      </c>
      <c r="Q13" s="3">
        <v>0</v>
      </c>
      <c r="R13" s="3" t="s">
        <v>80</v>
      </c>
      <c r="S13" s="3">
        <v>123</v>
      </c>
      <c r="T13" s="3">
        <v>94</v>
      </c>
      <c r="U13" s="3">
        <v>77</v>
      </c>
      <c r="V13" s="10">
        <v>6</v>
      </c>
      <c r="W13" s="10">
        <v>6</v>
      </c>
      <c r="X13" s="11">
        <f t="shared" si="2"/>
        <v>24.685714285714287</v>
      </c>
      <c r="Y13" s="9">
        <v>864</v>
      </c>
      <c r="Z13" s="9">
        <v>13</v>
      </c>
      <c r="AA13" s="9">
        <v>8</v>
      </c>
      <c r="AB13" s="9">
        <v>18</v>
      </c>
      <c r="AC13" s="9">
        <f t="shared" si="3"/>
        <v>21</v>
      </c>
      <c r="AD13" s="9">
        <f t="shared" si="4"/>
        <v>3</v>
      </c>
      <c r="AE13" s="82"/>
    </row>
    <row r="14" spans="2:31" ht="31.5" x14ac:dyDescent="0.5">
      <c r="B14" s="80"/>
      <c r="C14" s="7">
        <v>46062</v>
      </c>
      <c r="D14" s="9">
        <v>18888</v>
      </c>
      <c r="E14" s="9">
        <v>2</v>
      </c>
      <c r="F14" s="9">
        <v>3416</v>
      </c>
      <c r="G14" s="9">
        <v>1</v>
      </c>
      <c r="H14" s="9">
        <f t="shared" si="0"/>
        <v>22304</v>
      </c>
      <c r="I14" s="14">
        <v>13168</v>
      </c>
      <c r="J14" s="9">
        <f t="shared" si="1"/>
        <v>-9136</v>
      </c>
      <c r="K14" s="9">
        <v>13691</v>
      </c>
      <c r="L14" s="9">
        <v>2760</v>
      </c>
      <c r="M14" s="9">
        <f t="shared" si="5"/>
        <v>5853</v>
      </c>
      <c r="N14" s="9">
        <v>100895</v>
      </c>
      <c r="O14" s="9" t="s">
        <v>77</v>
      </c>
      <c r="P14" s="3">
        <v>0</v>
      </c>
      <c r="Q14" s="3">
        <v>0</v>
      </c>
      <c r="R14" s="3" t="s">
        <v>80</v>
      </c>
      <c r="S14" s="3">
        <v>159</v>
      </c>
      <c r="T14" s="3">
        <v>80</v>
      </c>
      <c r="U14" s="3">
        <v>109</v>
      </c>
      <c r="V14" s="10">
        <v>6</v>
      </c>
      <c r="W14" s="10">
        <v>7</v>
      </c>
      <c r="X14" s="11">
        <f t="shared" si="2"/>
        <v>4.2857142857142856</v>
      </c>
      <c r="Y14" s="9">
        <v>150</v>
      </c>
      <c r="Z14" s="9">
        <v>18</v>
      </c>
      <c r="AA14" s="9">
        <v>3</v>
      </c>
      <c r="AB14" s="9">
        <v>18</v>
      </c>
      <c r="AC14" s="9">
        <f t="shared" si="3"/>
        <v>21</v>
      </c>
      <c r="AD14" s="9">
        <f t="shared" si="4"/>
        <v>3</v>
      </c>
      <c r="AE14" s="82"/>
    </row>
    <row r="15" spans="2:31" ht="31.5" x14ac:dyDescent="0.5">
      <c r="B15" s="80"/>
      <c r="C15" s="7">
        <v>46063</v>
      </c>
      <c r="D15" s="9">
        <v>17005</v>
      </c>
      <c r="E15" s="9">
        <v>2</v>
      </c>
      <c r="F15" s="9">
        <v>14303</v>
      </c>
      <c r="G15" s="9">
        <v>1</v>
      </c>
      <c r="H15" s="9">
        <f t="shared" si="0"/>
        <v>31308</v>
      </c>
      <c r="I15" s="14">
        <v>9365</v>
      </c>
      <c r="J15" s="9">
        <f t="shared" si="1"/>
        <v>-21943</v>
      </c>
      <c r="K15" s="9">
        <v>28928</v>
      </c>
      <c r="L15" s="9">
        <v>0</v>
      </c>
      <c r="M15" s="9">
        <f t="shared" si="5"/>
        <v>2380</v>
      </c>
      <c r="N15" s="9">
        <v>82683</v>
      </c>
      <c r="O15" s="9" t="s">
        <v>77</v>
      </c>
      <c r="P15" s="3">
        <v>0</v>
      </c>
      <c r="Q15" s="3">
        <v>3</v>
      </c>
      <c r="R15" s="3" t="s">
        <v>78</v>
      </c>
      <c r="S15" s="3">
        <v>208</v>
      </c>
      <c r="T15" s="3">
        <v>89</v>
      </c>
      <c r="U15" s="3">
        <v>53</v>
      </c>
      <c r="V15" s="10">
        <v>8</v>
      </c>
      <c r="W15" s="10">
        <v>8</v>
      </c>
      <c r="X15" s="11">
        <f t="shared" si="2"/>
        <v>2.3142857142857145</v>
      </c>
      <c r="Y15" s="9">
        <v>81</v>
      </c>
      <c r="Z15" s="9">
        <v>14</v>
      </c>
      <c r="AA15" s="9">
        <v>14</v>
      </c>
      <c r="AB15" s="9">
        <v>20</v>
      </c>
      <c r="AC15" s="9">
        <f t="shared" si="3"/>
        <v>28</v>
      </c>
      <c r="AD15" s="9">
        <f t="shared" si="4"/>
        <v>8</v>
      </c>
      <c r="AE15" s="82"/>
    </row>
    <row r="16" spans="2:31" ht="31.5" x14ac:dyDescent="0.5">
      <c r="B16" s="80"/>
      <c r="C16" s="7">
        <v>46064</v>
      </c>
      <c r="D16" s="9">
        <v>12248</v>
      </c>
      <c r="E16" s="9">
        <v>3</v>
      </c>
      <c r="F16" s="9">
        <v>1258</v>
      </c>
      <c r="G16" s="9">
        <v>4</v>
      </c>
      <c r="H16" s="9">
        <f t="shared" si="0"/>
        <v>13506</v>
      </c>
      <c r="I16" s="14">
        <v>20258</v>
      </c>
      <c r="J16" s="9">
        <f t="shared" si="1"/>
        <v>6752</v>
      </c>
      <c r="K16" s="9">
        <v>14378</v>
      </c>
      <c r="L16" s="9">
        <v>1288</v>
      </c>
      <c r="M16" s="9">
        <f t="shared" si="5"/>
        <v>-2160</v>
      </c>
      <c r="N16" s="9">
        <v>88667</v>
      </c>
      <c r="O16" s="9" t="s">
        <v>79</v>
      </c>
      <c r="P16" s="3">
        <v>0</v>
      </c>
      <c r="Q16" s="3">
        <v>0</v>
      </c>
      <c r="R16" s="3" t="s">
        <v>80</v>
      </c>
      <c r="S16" s="3">
        <v>192</v>
      </c>
      <c r="T16" s="3">
        <v>79</v>
      </c>
      <c r="U16" s="3">
        <v>0</v>
      </c>
      <c r="V16" s="3">
        <v>5</v>
      </c>
      <c r="W16" s="3">
        <v>5</v>
      </c>
      <c r="X16" s="11">
        <f t="shared" si="2"/>
        <v>3</v>
      </c>
      <c r="Y16" s="9">
        <v>105</v>
      </c>
      <c r="Z16" s="9">
        <v>11</v>
      </c>
      <c r="AA16" s="9">
        <v>2</v>
      </c>
      <c r="AB16" s="9">
        <v>14</v>
      </c>
      <c r="AC16" s="9">
        <f t="shared" si="3"/>
        <v>13</v>
      </c>
      <c r="AD16" s="9">
        <f t="shared" si="4"/>
        <v>-1</v>
      </c>
      <c r="AE16" s="82"/>
    </row>
    <row r="17" spans="2:31" ht="31.5" x14ac:dyDescent="0.25">
      <c r="B17" s="80"/>
      <c r="C17" s="7">
        <v>46065</v>
      </c>
      <c r="D17" s="9">
        <v>15998</v>
      </c>
      <c r="E17" s="9">
        <v>3</v>
      </c>
      <c r="F17" s="9">
        <v>1849</v>
      </c>
      <c r="G17" s="9">
        <v>4</v>
      </c>
      <c r="H17" s="9">
        <f t="shared" si="0"/>
        <v>17847</v>
      </c>
      <c r="I17" s="9">
        <v>25993</v>
      </c>
      <c r="J17" s="9">
        <f t="shared" si="1"/>
        <v>8146</v>
      </c>
      <c r="K17" s="9">
        <v>12966</v>
      </c>
      <c r="L17" s="9">
        <v>0</v>
      </c>
      <c r="M17" s="9">
        <f t="shared" si="5"/>
        <v>4881</v>
      </c>
      <c r="N17" s="9">
        <v>97446</v>
      </c>
      <c r="O17" s="9" t="s">
        <v>79</v>
      </c>
      <c r="P17" s="3">
        <v>0</v>
      </c>
      <c r="Q17" s="3">
        <v>0</v>
      </c>
      <c r="R17" s="3" t="s">
        <v>80</v>
      </c>
      <c r="S17" s="3">
        <v>175</v>
      </c>
      <c r="T17" s="3">
        <v>173</v>
      </c>
      <c r="U17" s="3">
        <v>40</v>
      </c>
      <c r="V17" s="3">
        <v>5</v>
      </c>
      <c r="W17" s="3">
        <v>5</v>
      </c>
      <c r="X17" s="11">
        <f t="shared" si="2"/>
        <v>22.6</v>
      </c>
      <c r="Y17" s="9">
        <v>791</v>
      </c>
      <c r="Z17" s="9">
        <v>16</v>
      </c>
      <c r="AA17" s="9">
        <v>1</v>
      </c>
      <c r="AB17" s="9">
        <v>12</v>
      </c>
      <c r="AC17" s="9">
        <f t="shared" si="3"/>
        <v>17</v>
      </c>
      <c r="AD17" s="9">
        <f t="shared" si="4"/>
        <v>5</v>
      </c>
      <c r="AE17" s="82"/>
    </row>
    <row r="18" spans="2:31" ht="31.5" x14ac:dyDescent="0.25">
      <c r="B18" s="80"/>
      <c r="C18" s="7">
        <v>46066</v>
      </c>
      <c r="D18" s="9">
        <v>14307</v>
      </c>
      <c r="E18" s="9">
        <v>2</v>
      </c>
      <c r="F18" s="9">
        <v>9625</v>
      </c>
      <c r="G18" s="9">
        <v>1</v>
      </c>
      <c r="H18" s="9">
        <f t="shared" si="0"/>
        <v>23932</v>
      </c>
      <c r="I18" s="9">
        <v>25158</v>
      </c>
      <c r="J18" s="9">
        <f t="shared" si="1"/>
        <v>1226</v>
      </c>
      <c r="K18" s="9">
        <v>9475</v>
      </c>
      <c r="L18" s="9">
        <v>1288</v>
      </c>
      <c r="M18" s="9">
        <f t="shared" si="5"/>
        <v>13169</v>
      </c>
      <c r="N18" s="9">
        <v>98500</v>
      </c>
      <c r="O18" s="9" t="s">
        <v>79</v>
      </c>
      <c r="P18" s="3">
        <v>0</v>
      </c>
      <c r="Q18" s="3">
        <v>0</v>
      </c>
      <c r="R18" s="3" t="s">
        <v>80</v>
      </c>
      <c r="S18" s="3">
        <v>188</v>
      </c>
      <c r="T18" s="3">
        <v>66</v>
      </c>
      <c r="U18" s="3">
        <v>80</v>
      </c>
      <c r="V18" s="10">
        <v>7</v>
      </c>
      <c r="W18" s="10">
        <v>7</v>
      </c>
      <c r="X18" s="11">
        <f t="shared" si="2"/>
        <v>6.0571428571428569</v>
      </c>
      <c r="Y18" s="9">
        <v>212</v>
      </c>
      <c r="Z18" s="9">
        <v>14</v>
      </c>
      <c r="AA18" s="9">
        <v>9</v>
      </c>
      <c r="AB18" s="9">
        <v>14</v>
      </c>
      <c r="AC18" s="9">
        <f t="shared" si="3"/>
        <v>23</v>
      </c>
      <c r="AD18" s="9">
        <f t="shared" si="4"/>
        <v>9</v>
      </c>
      <c r="AE18" s="82"/>
    </row>
    <row r="19" spans="2:31" ht="31.5" x14ac:dyDescent="0.25">
      <c r="B19" s="80"/>
      <c r="C19" s="7">
        <v>46067</v>
      </c>
      <c r="D19" s="9">
        <v>14310</v>
      </c>
      <c r="E19" s="9">
        <v>2</v>
      </c>
      <c r="F19" s="9">
        <v>3554</v>
      </c>
      <c r="G19" s="9">
        <v>1</v>
      </c>
      <c r="H19" s="9">
        <f t="shared" si="0"/>
        <v>17864</v>
      </c>
      <c r="I19" s="9">
        <v>24933</v>
      </c>
      <c r="J19" s="9">
        <f t="shared" si="1"/>
        <v>7069</v>
      </c>
      <c r="K19" s="9">
        <v>17397</v>
      </c>
      <c r="L19" s="9">
        <v>0</v>
      </c>
      <c r="M19" s="9">
        <f t="shared" si="5"/>
        <v>467</v>
      </c>
      <c r="N19" s="9">
        <v>105586</v>
      </c>
      <c r="O19" s="9" t="s">
        <v>79</v>
      </c>
      <c r="P19" s="3">
        <v>0</v>
      </c>
      <c r="Q19" s="3">
        <v>0</v>
      </c>
      <c r="R19" s="3" t="s">
        <v>80</v>
      </c>
      <c r="S19" s="3">
        <v>130</v>
      </c>
      <c r="T19" s="3">
        <v>61</v>
      </c>
      <c r="U19" s="3">
        <v>66</v>
      </c>
      <c r="V19" s="10">
        <v>5</v>
      </c>
      <c r="W19" s="10">
        <v>5</v>
      </c>
      <c r="X19" s="11">
        <f t="shared" si="2"/>
        <v>5.5714285714285712</v>
      </c>
      <c r="Y19" s="9">
        <v>195</v>
      </c>
      <c r="Z19" s="9">
        <v>14</v>
      </c>
      <c r="AA19" s="9">
        <v>3</v>
      </c>
      <c r="AB19" s="9">
        <v>18</v>
      </c>
      <c r="AC19" s="9">
        <f t="shared" si="3"/>
        <v>17</v>
      </c>
      <c r="AD19" s="9">
        <f t="shared" si="4"/>
        <v>-1</v>
      </c>
      <c r="AE19" s="82"/>
    </row>
    <row r="20" spans="2:31" ht="31.5" x14ac:dyDescent="0.25">
      <c r="B20" s="80"/>
      <c r="C20" s="7">
        <v>46068</v>
      </c>
      <c r="D20" s="9">
        <v>12342</v>
      </c>
      <c r="E20" s="9">
        <v>2</v>
      </c>
      <c r="F20" s="9">
        <v>4314</v>
      </c>
      <c r="G20" s="9">
        <v>1</v>
      </c>
      <c r="H20" s="9">
        <f t="shared" si="0"/>
        <v>16656</v>
      </c>
      <c r="I20" s="9">
        <v>24023</v>
      </c>
      <c r="J20" s="9">
        <f t="shared" si="1"/>
        <v>7367</v>
      </c>
      <c r="K20" s="9">
        <v>16871</v>
      </c>
      <c r="L20" s="9">
        <v>0</v>
      </c>
      <c r="M20" s="9">
        <f t="shared" si="5"/>
        <v>-215</v>
      </c>
      <c r="N20" s="9">
        <v>108679</v>
      </c>
      <c r="O20" s="9" t="s">
        <v>79</v>
      </c>
      <c r="P20" s="3">
        <v>0</v>
      </c>
      <c r="Q20" s="3">
        <v>0</v>
      </c>
      <c r="R20" s="3" t="s">
        <v>80</v>
      </c>
      <c r="S20" s="3">
        <v>147</v>
      </c>
      <c r="T20" s="3">
        <v>95</v>
      </c>
      <c r="U20" s="3">
        <v>54</v>
      </c>
      <c r="V20" s="10">
        <v>4</v>
      </c>
      <c r="W20" s="10">
        <v>5</v>
      </c>
      <c r="X20" s="11">
        <f t="shared" si="2"/>
        <v>8.6</v>
      </c>
      <c r="Y20" s="9">
        <v>301</v>
      </c>
      <c r="Z20" s="9">
        <v>11</v>
      </c>
      <c r="AA20" s="9">
        <v>5</v>
      </c>
      <c r="AB20" s="9">
        <v>18</v>
      </c>
      <c r="AC20" s="9">
        <f t="shared" si="3"/>
        <v>16</v>
      </c>
      <c r="AD20" s="9">
        <f t="shared" si="4"/>
        <v>-2</v>
      </c>
      <c r="AE20" s="82"/>
    </row>
    <row r="21" spans="2:31" ht="31.5" x14ac:dyDescent="0.25">
      <c r="B21" s="80"/>
      <c r="C21" s="7">
        <v>46069</v>
      </c>
      <c r="D21" s="9">
        <v>13888</v>
      </c>
      <c r="E21" s="9">
        <v>4</v>
      </c>
      <c r="F21" s="9">
        <v>9374</v>
      </c>
      <c r="G21" s="9">
        <v>3</v>
      </c>
      <c r="H21" s="9">
        <f t="shared" si="0"/>
        <v>23262</v>
      </c>
      <c r="I21" s="9">
        <v>25066</v>
      </c>
      <c r="J21" s="9">
        <f t="shared" si="1"/>
        <v>1804</v>
      </c>
      <c r="K21" s="9">
        <v>13279</v>
      </c>
      <c r="L21" s="9">
        <v>2258</v>
      </c>
      <c r="M21" s="9">
        <f t="shared" si="5"/>
        <v>7725</v>
      </c>
      <c r="N21" s="9">
        <v>109667</v>
      </c>
      <c r="O21" s="9" t="s">
        <v>79</v>
      </c>
      <c r="P21" s="3">
        <v>0</v>
      </c>
      <c r="Q21" s="3">
        <v>2</v>
      </c>
      <c r="R21" s="3" t="s">
        <v>78</v>
      </c>
      <c r="S21" s="3">
        <v>106</v>
      </c>
      <c r="T21" s="3">
        <v>75</v>
      </c>
      <c r="U21" s="3">
        <v>109</v>
      </c>
      <c r="V21" s="10">
        <v>6</v>
      </c>
      <c r="W21" s="3">
        <v>6</v>
      </c>
      <c r="X21" s="11">
        <f t="shared" si="2"/>
        <v>6.0857142857142854</v>
      </c>
      <c r="Y21" s="9">
        <v>213</v>
      </c>
      <c r="Z21" s="9">
        <v>14</v>
      </c>
      <c r="AA21" s="9">
        <v>10</v>
      </c>
      <c r="AB21" s="9">
        <v>15</v>
      </c>
      <c r="AC21" s="9">
        <f t="shared" si="3"/>
        <v>24</v>
      </c>
      <c r="AD21" s="9">
        <f t="shared" si="4"/>
        <v>9</v>
      </c>
      <c r="AE21" s="82"/>
    </row>
    <row r="22" spans="2:31" ht="31.5" x14ac:dyDescent="0.25">
      <c r="B22" s="80"/>
      <c r="C22" s="7">
        <v>46070</v>
      </c>
      <c r="D22" s="9">
        <v>16387</v>
      </c>
      <c r="E22" s="9">
        <v>4</v>
      </c>
      <c r="F22" s="9">
        <v>16165</v>
      </c>
      <c r="G22" s="9">
        <v>3</v>
      </c>
      <c r="H22" s="9">
        <f t="shared" si="0"/>
        <v>32552</v>
      </c>
      <c r="I22" s="9">
        <v>23782</v>
      </c>
      <c r="J22" s="9">
        <f t="shared" si="1"/>
        <v>-8770</v>
      </c>
      <c r="K22" s="9">
        <v>27257</v>
      </c>
      <c r="L22" s="9">
        <v>920</v>
      </c>
      <c r="M22" s="9">
        <f t="shared" si="5"/>
        <v>4375</v>
      </c>
      <c r="N22" s="9">
        <v>101797</v>
      </c>
      <c r="O22" s="9" t="s">
        <v>77</v>
      </c>
      <c r="P22" s="3">
        <v>0</v>
      </c>
      <c r="Q22" s="3">
        <v>5</v>
      </c>
      <c r="R22" s="3" t="s">
        <v>78</v>
      </c>
      <c r="S22" s="3">
        <v>113</v>
      </c>
      <c r="T22" s="3">
        <v>73</v>
      </c>
      <c r="U22" s="3">
        <v>51</v>
      </c>
      <c r="V22" s="10">
        <v>8</v>
      </c>
      <c r="W22" s="3">
        <v>8</v>
      </c>
      <c r="X22" s="11">
        <f t="shared" si="2"/>
        <v>11.085714285714285</v>
      </c>
      <c r="Y22" s="9">
        <v>388</v>
      </c>
      <c r="Z22" s="9">
        <v>15</v>
      </c>
      <c r="AA22" s="9">
        <v>16</v>
      </c>
      <c r="AB22" s="9">
        <v>29</v>
      </c>
      <c r="AC22" s="9">
        <f t="shared" si="3"/>
        <v>31</v>
      </c>
      <c r="AD22" s="9">
        <f t="shared" si="4"/>
        <v>2</v>
      </c>
      <c r="AE22" s="82"/>
    </row>
    <row r="23" spans="2:31" ht="31.5" x14ac:dyDescent="0.25">
      <c r="B23" s="80"/>
      <c r="C23" s="7">
        <v>46071</v>
      </c>
      <c r="D23" s="9">
        <v>17341</v>
      </c>
      <c r="E23" s="9">
        <v>2</v>
      </c>
      <c r="F23" s="9">
        <v>10220</v>
      </c>
      <c r="G23" s="9">
        <v>1</v>
      </c>
      <c r="H23" s="9">
        <f t="shared" si="0"/>
        <v>27561</v>
      </c>
      <c r="I23" s="9">
        <v>24519</v>
      </c>
      <c r="J23" s="9">
        <f t="shared" si="1"/>
        <v>-3042</v>
      </c>
      <c r="K23" s="9">
        <v>22041</v>
      </c>
      <c r="L23" s="9">
        <v>1058</v>
      </c>
      <c r="M23" s="9">
        <f t="shared" si="5"/>
        <v>4462</v>
      </c>
      <c r="N23" s="9">
        <v>99776</v>
      </c>
      <c r="O23" s="9" t="s">
        <v>77</v>
      </c>
      <c r="P23" s="3">
        <v>0</v>
      </c>
      <c r="Q23" s="3">
        <v>0</v>
      </c>
      <c r="R23" s="3" t="s">
        <v>80</v>
      </c>
      <c r="S23" s="3">
        <v>115</v>
      </c>
      <c r="T23" s="3">
        <v>59</v>
      </c>
      <c r="U23" s="3">
        <v>68</v>
      </c>
      <c r="V23" s="10">
        <v>7</v>
      </c>
      <c r="W23" s="3">
        <v>7</v>
      </c>
      <c r="X23" s="11">
        <f t="shared" si="2"/>
        <v>9.4</v>
      </c>
      <c r="Y23" s="9">
        <v>329</v>
      </c>
      <c r="Z23" s="9">
        <v>16</v>
      </c>
      <c r="AA23" s="9">
        <v>10</v>
      </c>
      <c r="AB23" s="9">
        <v>25</v>
      </c>
      <c r="AC23" s="9">
        <f t="shared" si="3"/>
        <v>26</v>
      </c>
      <c r="AD23" s="9">
        <f t="shared" si="4"/>
        <v>1</v>
      </c>
      <c r="AE23" s="82"/>
    </row>
    <row r="24" spans="2:31" ht="31.5" x14ac:dyDescent="0.25">
      <c r="B24" s="80"/>
      <c r="C24" s="7">
        <v>46072</v>
      </c>
      <c r="D24" s="9">
        <v>16814</v>
      </c>
      <c r="E24" s="9">
        <v>2</v>
      </c>
      <c r="F24" s="9">
        <v>7702</v>
      </c>
      <c r="G24" s="9">
        <v>1</v>
      </c>
      <c r="H24" s="9">
        <f t="shared" si="0"/>
        <v>24516</v>
      </c>
      <c r="I24" s="9">
        <v>21953</v>
      </c>
      <c r="J24" s="9">
        <f t="shared" si="1"/>
        <v>-2563</v>
      </c>
      <c r="K24" s="9">
        <v>19123</v>
      </c>
      <c r="L24" s="9">
        <v>0</v>
      </c>
      <c r="M24" s="9">
        <f t="shared" si="5"/>
        <v>5393</v>
      </c>
      <c r="N24" s="9">
        <v>97649</v>
      </c>
      <c r="O24" s="9" t="s">
        <v>77</v>
      </c>
      <c r="P24" s="3">
        <v>0</v>
      </c>
      <c r="Q24" s="3">
        <v>0</v>
      </c>
      <c r="R24" s="3" t="s">
        <v>80</v>
      </c>
      <c r="S24" s="3">
        <v>140</v>
      </c>
      <c r="T24" s="3">
        <v>72</v>
      </c>
      <c r="U24" s="3">
        <v>108</v>
      </c>
      <c r="V24" s="10">
        <v>7</v>
      </c>
      <c r="W24" s="10">
        <v>7</v>
      </c>
      <c r="X24" s="11">
        <f t="shared" si="2"/>
        <v>4.5714285714285712</v>
      </c>
      <c r="Y24" s="9">
        <v>160</v>
      </c>
      <c r="Z24" s="9">
        <v>16</v>
      </c>
      <c r="AA24" s="9">
        <v>8</v>
      </c>
      <c r="AB24" s="9">
        <v>25</v>
      </c>
      <c r="AC24" s="9">
        <f t="shared" si="3"/>
        <v>24</v>
      </c>
      <c r="AD24" s="9">
        <f t="shared" si="4"/>
        <v>-1</v>
      </c>
      <c r="AE24" s="82"/>
    </row>
    <row r="25" spans="2:31" ht="31.5" x14ac:dyDescent="0.25">
      <c r="B25" s="80"/>
      <c r="C25" s="7">
        <v>46073</v>
      </c>
      <c r="D25" s="9"/>
      <c r="E25" s="9">
        <v>4</v>
      </c>
      <c r="F25" s="9"/>
      <c r="G25" s="9">
        <v>3</v>
      </c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9"/>
      <c r="Z25" s="9"/>
      <c r="AA25" s="9"/>
      <c r="AB25" s="9"/>
      <c r="AC25" s="9">
        <f t="shared" si="3"/>
        <v>0</v>
      </c>
      <c r="AD25" s="9">
        <f t="shared" si="4"/>
        <v>0</v>
      </c>
      <c r="AE25" s="82"/>
    </row>
    <row r="26" spans="2:31" ht="31.5" x14ac:dyDescent="0.25">
      <c r="B26" s="80"/>
      <c r="C26" s="7">
        <v>46074</v>
      </c>
      <c r="D26" s="9"/>
      <c r="E26" s="9">
        <v>4</v>
      </c>
      <c r="F26" s="9"/>
      <c r="G26" s="9">
        <v>3</v>
      </c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9"/>
      <c r="Z26" s="9"/>
      <c r="AA26" s="9"/>
      <c r="AB26" s="9"/>
      <c r="AC26" s="9">
        <f t="shared" si="3"/>
        <v>0</v>
      </c>
      <c r="AD26" s="9">
        <f t="shared" si="4"/>
        <v>0</v>
      </c>
      <c r="AE26" s="82"/>
    </row>
    <row r="27" spans="2:31" ht="31.5" x14ac:dyDescent="0.25">
      <c r="B27" s="80"/>
      <c r="C27" s="7">
        <v>46075</v>
      </c>
      <c r="D27" s="9"/>
      <c r="E27" s="9">
        <v>4</v>
      </c>
      <c r="F27" s="9"/>
      <c r="G27" s="9">
        <v>3</v>
      </c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9"/>
      <c r="Z27" s="9"/>
      <c r="AA27" s="9"/>
      <c r="AB27" s="9"/>
      <c r="AC27" s="9">
        <f t="shared" si="3"/>
        <v>0</v>
      </c>
      <c r="AD27" s="9">
        <f t="shared" si="4"/>
        <v>0</v>
      </c>
      <c r="AE27" s="82"/>
    </row>
    <row r="28" spans="2:31" ht="31.5" x14ac:dyDescent="0.25">
      <c r="B28" s="80"/>
      <c r="C28" s="7">
        <v>46076</v>
      </c>
      <c r="D28" s="9"/>
      <c r="E28" s="9">
        <v>1</v>
      </c>
      <c r="F28" s="9"/>
      <c r="G28" s="9">
        <v>2</v>
      </c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9"/>
      <c r="Z28" s="9"/>
      <c r="AA28" s="9"/>
      <c r="AB28" s="9"/>
      <c r="AC28" s="9">
        <f t="shared" si="3"/>
        <v>0</v>
      </c>
      <c r="AD28" s="9">
        <f t="shared" si="4"/>
        <v>0</v>
      </c>
      <c r="AE28" s="82"/>
    </row>
    <row r="29" spans="2:31" ht="31.5" x14ac:dyDescent="0.25">
      <c r="B29" s="80"/>
      <c r="C29" s="7">
        <v>46077</v>
      </c>
      <c r="D29" s="9"/>
      <c r="E29" s="9">
        <v>1</v>
      </c>
      <c r="F29" s="9"/>
      <c r="G29" s="9">
        <v>2</v>
      </c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9"/>
      <c r="Z29" s="9"/>
      <c r="AA29" s="9"/>
      <c r="AB29" s="9"/>
      <c r="AC29" s="9">
        <f t="shared" si="3"/>
        <v>0</v>
      </c>
      <c r="AD29" s="9">
        <f t="shared" si="4"/>
        <v>0</v>
      </c>
      <c r="AE29" s="82"/>
    </row>
    <row r="30" spans="2:31" ht="31.5" x14ac:dyDescent="0.25">
      <c r="B30" s="80"/>
      <c r="C30" s="7">
        <v>46078</v>
      </c>
      <c r="D30" s="9"/>
      <c r="E30" s="9">
        <v>4</v>
      </c>
      <c r="F30" s="9"/>
      <c r="G30" s="9">
        <v>3</v>
      </c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9"/>
      <c r="Z30" s="9"/>
      <c r="AA30" s="9"/>
      <c r="AB30" s="9"/>
      <c r="AC30" s="9">
        <f t="shared" si="3"/>
        <v>0</v>
      </c>
      <c r="AD30" s="9">
        <f t="shared" si="4"/>
        <v>0</v>
      </c>
      <c r="AE30" s="82"/>
    </row>
    <row r="31" spans="2:31" ht="31.5" x14ac:dyDescent="0.25">
      <c r="B31" s="80"/>
      <c r="C31" s="7">
        <v>46079</v>
      </c>
      <c r="D31" s="9"/>
      <c r="E31" s="9">
        <v>4</v>
      </c>
      <c r="F31" s="9"/>
      <c r="G31" s="9">
        <v>3</v>
      </c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9"/>
      <c r="Z31" s="9"/>
      <c r="AA31" s="9"/>
      <c r="AB31" s="9"/>
      <c r="AC31" s="9">
        <f t="shared" si="3"/>
        <v>0</v>
      </c>
      <c r="AD31" s="9">
        <f t="shared" si="4"/>
        <v>0</v>
      </c>
      <c r="AE31" s="82"/>
    </row>
    <row r="32" spans="2:31" ht="31.5" x14ac:dyDescent="0.25">
      <c r="B32" s="80"/>
      <c r="C32" s="7">
        <v>46080</v>
      </c>
      <c r="D32" s="9"/>
      <c r="E32" s="9">
        <v>1</v>
      </c>
      <c r="F32" s="9"/>
      <c r="G32" s="9">
        <v>2</v>
      </c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9"/>
      <c r="Z32" s="9"/>
      <c r="AA32" s="9"/>
      <c r="AB32" s="9"/>
      <c r="AC32" s="9">
        <f t="shared" si="3"/>
        <v>0</v>
      </c>
      <c r="AD32" s="9">
        <f t="shared" si="4"/>
        <v>0</v>
      </c>
      <c r="AE32" s="82"/>
    </row>
    <row r="33" spans="2:31" ht="31.5" x14ac:dyDescent="0.25">
      <c r="B33" s="80"/>
      <c r="C33" s="7">
        <v>46081</v>
      </c>
      <c r="D33" s="9"/>
      <c r="E33" s="9">
        <v>1</v>
      </c>
      <c r="F33" s="9"/>
      <c r="G33" s="9">
        <v>2</v>
      </c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9"/>
      <c r="Z33" s="9"/>
      <c r="AA33" s="9"/>
      <c r="AB33" s="9"/>
      <c r="AC33" s="9">
        <f t="shared" si="3"/>
        <v>0</v>
      </c>
      <c r="AD33" s="9">
        <f t="shared" si="4"/>
        <v>0</v>
      </c>
      <c r="AE33" s="82"/>
    </row>
    <row r="34" spans="2:31" ht="63" x14ac:dyDescent="0.25">
      <c r="B34" s="80"/>
      <c r="C34" s="15" t="s">
        <v>30</v>
      </c>
      <c r="D34" s="16">
        <f>SUM(D6:D33)</f>
        <v>280487</v>
      </c>
      <c r="E34" s="71"/>
      <c r="F34" s="16">
        <f>SUM(F6:F33)</f>
        <v>129288</v>
      </c>
      <c r="G34" s="71"/>
      <c r="H34" s="16">
        <f>SUM(H6:H33)</f>
        <v>409775</v>
      </c>
      <c r="I34" s="16">
        <f>SUM(I6:I33)</f>
        <v>337132</v>
      </c>
      <c r="J34" s="16">
        <f>I34-H34</f>
        <v>-72643</v>
      </c>
      <c r="K34" s="16">
        <f>SUM(K6:K33)</f>
        <v>270331</v>
      </c>
      <c r="L34" s="16">
        <f>SUM(L6:L33)</f>
        <v>11878</v>
      </c>
      <c r="M34" s="16">
        <f>H34-K34</f>
        <v>139444</v>
      </c>
      <c r="N34" s="16">
        <f>AVERAGE(N6:N33)</f>
        <v>99709.875</v>
      </c>
      <c r="O34" s="71"/>
      <c r="P34" s="17">
        <f>AVERAGE(P6:P33)</f>
        <v>0</v>
      </c>
      <c r="Q34" s="18">
        <f>AVERAGE(Q6:Q33)</f>
        <v>1.1666666666666667</v>
      </c>
      <c r="R34" s="72"/>
      <c r="S34" s="18">
        <f t="shared" ref="S34:AD34" si="6">AVERAGE(S6:S33)</f>
        <v>162.5</v>
      </c>
      <c r="T34" s="18">
        <f t="shared" si="6"/>
        <v>80.05263157894737</v>
      </c>
      <c r="U34" s="18">
        <f t="shared" si="6"/>
        <v>71.78947368421052</v>
      </c>
      <c r="V34" s="18">
        <f t="shared" si="6"/>
        <v>5.8947368421052628</v>
      </c>
      <c r="W34" s="18">
        <f t="shared" si="6"/>
        <v>5.8947368421052628</v>
      </c>
      <c r="X34" s="18">
        <f t="shared" si="6"/>
        <v>6.0918367346938789</v>
      </c>
      <c r="Y34" s="16">
        <f t="shared" si="6"/>
        <v>373.125</v>
      </c>
      <c r="Z34" s="16">
        <f t="shared" si="6"/>
        <v>13.842105263157896</v>
      </c>
      <c r="AA34" s="16">
        <f t="shared" si="6"/>
        <v>6.7894736842105265</v>
      </c>
      <c r="AB34" s="16">
        <f t="shared" si="6"/>
        <v>17</v>
      </c>
      <c r="AC34" s="16">
        <f>SUM(AC6:AC33)</f>
        <v>392</v>
      </c>
      <c r="AD34" s="16">
        <f t="shared" si="6"/>
        <v>3.6785714285714284</v>
      </c>
      <c r="AE34" s="82"/>
    </row>
    <row r="35" spans="2:31" ht="31.5" x14ac:dyDescent="0.5">
      <c r="B35" s="80"/>
      <c r="C35" s="19"/>
      <c r="H35" s="19"/>
      <c r="I35" s="12"/>
      <c r="J35" s="20"/>
      <c r="K35" s="20"/>
      <c r="L35" s="20"/>
      <c r="S35" s="21"/>
      <c r="T35" s="19"/>
      <c r="U35" s="19"/>
      <c r="V35" s="22"/>
      <c r="W35" s="19"/>
      <c r="X35" s="19"/>
      <c r="Y35" s="19"/>
      <c r="Z35" s="19"/>
      <c r="AA35" s="19"/>
      <c r="AB35" s="19"/>
      <c r="AC35" s="19"/>
      <c r="AD35" s="19"/>
      <c r="AE35" s="82"/>
    </row>
    <row r="36" spans="2:31" ht="49.5" customHeight="1" x14ac:dyDescent="0.25"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6"/>
    </row>
  </sheetData>
  <mergeCells count="8">
    <mergeCell ref="B36:AE36"/>
    <mergeCell ref="B2:AE2"/>
    <mergeCell ref="B3:B35"/>
    <mergeCell ref="C3:AD3"/>
    <mergeCell ref="AE3:AE35"/>
    <mergeCell ref="D4:E4"/>
    <mergeCell ref="F4:G4"/>
    <mergeCell ref="H4:Y4"/>
  </mergeCells>
  <conditionalFormatting sqref="D7:D33">
    <cfRule type="cellIs" dxfId="615" priority="10" operator="lessThan">
      <formula>12499</formula>
    </cfRule>
    <cfRule type="cellIs" dxfId="614" priority="11" operator="greaterThan">
      <formula>12500</formula>
    </cfRule>
    <cfRule type="cellIs" dxfId="613" priority="21" operator="lessThan">
      <formula>15499</formula>
    </cfRule>
    <cfRule type="cellIs" dxfId="612" priority="22" operator="greaterThan">
      <formula>15501</formula>
    </cfRule>
  </conditionalFormatting>
  <conditionalFormatting sqref="E7:E33 G7:G33">
    <cfRule type="containsText" dxfId="611" priority="34" operator="containsText" text="3">
      <formula>NOT(ISERROR(SEARCH("3",E7)))</formula>
    </cfRule>
    <cfRule type="containsText" dxfId="610" priority="33" operator="containsText" text="4">
      <formula>NOT(ISERROR(SEARCH("4",E7)))</formula>
    </cfRule>
    <cfRule type="containsText" dxfId="609" priority="35" operator="containsText" text="2">
      <formula>NOT(ISERROR(SEARCH("2",E7)))</formula>
    </cfRule>
    <cfRule type="containsText" dxfId="608" priority="36" operator="containsText" text="1">
      <formula>NOT(ISERROR(SEARCH("1",E7)))</formula>
    </cfRule>
  </conditionalFormatting>
  <conditionalFormatting sqref="F7:F11 D7:D33 F13:F33">
    <cfRule type="cellIs" dxfId="607" priority="3" operator="lessThan">
      <formula>12799</formula>
    </cfRule>
    <cfRule type="cellIs" dxfId="606" priority="4" operator="greaterThan">
      <formula>12800</formula>
    </cfRule>
    <cfRule type="cellIs" dxfId="605" priority="5" operator="greaterThan">
      <formula>12800</formula>
    </cfRule>
  </conditionalFormatting>
  <conditionalFormatting sqref="F7:F11 F13:F33">
    <cfRule type="cellIs" dxfId="604" priority="9" operator="greaterThan">
      <formula>12500</formula>
    </cfRule>
    <cfRule type="cellIs" dxfId="603" priority="8" operator="lessThan">
      <formula>12499</formula>
    </cfRule>
    <cfRule type="cellIs" dxfId="602" priority="49" operator="greaterThan">
      <formula>12801</formula>
    </cfRule>
    <cfRule type="cellIs" dxfId="601" priority="46" operator="greaterThan">
      <formula>12801</formula>
    </cfRule>
    <cfRule type="cellIs" dxfId="600" priority="45" operator="lessThan">
      <formula>12799</formula>
    </cfRule>
  </conditionalFormatting>
  <conditionalFormatting sqref="H7:H33">
    <cfRule type="cellIs" dxfId="599" priority="6" operator="lessThan">
      <formula>25599</formula>
    </cfRule>
    <cfRule type="cellIs" dxfId="598" priority="7" operator="greaterThan">
      <formula>25600</formula>
    </cfRule>
    <cfRule type="cellIs" dxfId="597" priority="39" operator="greaterThan">
      <formula>25501</formula>
    </cfRule>
    <cfRule type="cellIs" dxfId="596" priority="38" operator="lessThan">
      <formula>25499</formula>
    </cfRule>
    <cfRule type="cellIs" dxfId="595" priority="55" operator="equal">
      <formula>25000</formula>
    </cfRule>
    <cfRule type="cellIs" dxfId="594" priority="56" operator="lessThan">
      <formula>24999</formula>
    </cfRule>
    <cfRule type="cellIs" dxfId="593" priority="57" operator="greaterThan">
      <formula>24999</formula>
    </cfRule>
  </conditionalFormatting>
  <conditionalFormatting sqref="H34">
    <cfRule type="cellIs" dxfId="592" priority="24" operator="lessThan">
      <formula>$I$34</formula>
    </cfRule>
    <cfRule type="cellIs" dxfId="591" priority="23" operator="greaterThan">
      <formula>$I$34</formula>
    </cfRule>
  </conditionalFormatting>
  <conditionalFormatting sqref="J7:J33">
    <cfRule type="cellIs" dxfId="590" priority="54" operator="lessThan">
      <formula>1</formula>
    </cfRule>
  </conditionalFormatting>
  <conditionalFormatting sqref="J7:J34">
    <cfRule type="cellIs" dxfId="589" priority="30" operator="greaterThan">
      <formula>1</formula>
    </cfRule>
  </conditionalFormatting>
  <conditionalFormatting sqref="J34">
    <cfRule type="cellIs" dxfId="588" priority="29" operator="lessThan">
      <formula>0</formula>
    </cfRule>
  </conditionalFormatting>
  <conditionalFormatting sqref="M7:M34">
    <cfRule type="cellIs" dxfId="587" priority="28" operator="greaterThan">
      <formula>1</formula>
    </cfRule>
    <cfRule type="cellIs" dxfId="586" priority="27" operator="lessThan">
      <formula>1</formula>
    </cfRule>
  </conditionalFormatting>
  <conditionalFormatting sqref="O7:O33">
    <cfRule type="containsText" dxfId="585" priority="31" operator="containsText" text="X">
      <formula>NOT(ISERROR(SEARCH("X",O7)))</formula>
    </cfRule>
    <cfRule type="containsText" dxfId="584" priority="32" operator="containsText" text="W">
      <formula>NOT(ISERROR(SEARCH("W",O7)))</formula>
    </cfRule>
  </conditionalFormatting>
  <conditionalFormatting sqref="O9:O33">
    <cfRule type="containsText" dxfId="583" priority="66" operator="containsText" text="W">
      <formula>NOT(ISERROR(SEARCH("W",O9)))</formula>
    </cfRule>
    <cfRule type="containsText" dxfId="582" priority="65" operator="containsText" text="X">
      <formula>NOT(ISERROR(SEARCH("X",O9)))</formula>
    </cfRule>
  </conditionalFormatting>
  <conditionalFormatting sqref="P7:P33">
    <cfRule type="cellIs" dxfId="581" priority="62" operator="equal">
      <formula>1</formula>
    </cfRule>
    <cfRule type="cellIs" dxfId="580" priority="63" operator="lessThan">
      <formula>1</formula>
    </cfRule>
    <cfRule type="cellIs" dxfId="579" priority="64" operator="greaterThan">
      <formula>1</formula>
    </cfRule>
  </conditionalFormatting>
  <conditionalFormatting sqref="R7:R33">
    <cfRule type="containsText" dxfId="578" priority="37" operator="containsText" text="Y">
      <formula>NOT(ISERROR(SEARCH("Y",R7)))</formula>
    </cfRule>
    <cfRule type="containsText" dxfId="577" priority="47" operator="containsText" text="N">
      <formula>NOT(ISERROR(SEARCH("N",R7)))</formula>
    </cfRule>
    <cfRule type="containsText" dxfId="576" priority="48" operator="containsText" text="Y">
      <formula>NOT(ISERROR(SEARCH("Y",R7)))</formula>
    </cfRule>
  </conditionalFormatting>
  <conditionalFormatting sqref="S7:S33">
    <cfRule type="cellIs" dxfId="575" priority="58" operator="between">
      <formula>40</formula>
      <formula>49</formula>
    </cfRule>
    <cfRule type="cellIs" dxfId="574" priority="59" operator="lessThan">
      <formula>49</formula>
    </cfRule>
    <cfRule type="cellIs" dxfId="573" priority="60" operator="greaterThan">
      <formula>49</formula>
    </cfRule>
    <cfRule type="cellIs" dxfId="572" priority="61" operator="equal">
      <formula>40</formula>
    </cfRule>
  </conditionalFormatting>
  <conditionalFormatting sqref="T7:T33">
    <cfRule type="cellIs" dxfId="571" priority="51" operator="greaterThan">
      <formula>72</formula>
    </cfRule>
    <cfRule type="cellIs" dxfId="570" priority="50" operator="lessThan">
      <formula>71</formula>
    </cfRule>
  </conditionalFormatting>
  <conditionalFormatting sqref="T7:U33">
    <cfRule type="cellIs" dxfId="569" priority="14" operator="lessThan">
      <formula>75</formula>
    </cfRule>
    <cfRule type="cellIs" dxfId="568" priority="2" operator="lessThan">
      <formula>100</formula>
    </cfRule>
    <cfRule type="cellIs" dxfId="567" priority="1" operator="greaterThan">
      <formula>100</formula>
    </cfRule>
    <cfRule type="cellIs" dxfId="566" priority="43" operator="lessThan">
      <formula>71</formula>
    </cfRule>
    <cfRule type="cellIs" dxfId="565" priority="44" operator="greaterThan">
      <formula>73</formula>
    </cfRule>
    <cfRule type="cellIs" dxfId="564" priority="15" operator="greaterThan">
      <formula>76</formula>
    </cfRule>
  </conditionalFormatting>
  <conditionalFormatting sqref="U7:U33">
    <cfRule type="cellIs" dxfId="563" priority="52" operator="lessThan">
      <formula>79</formula>
    </cfRule>
    <cfRule type="cellIs" dxfId="562" priority="53" operator="greaterThan">
      <formula>80</formula>
    </cfRule>
  </conditionalFormatting>
  <conditionalFormatting sqref="V7:W33">
    <cfRule type="cellIs" dxfId="561" priority="20" operator="greaterThan">
      <formula>8</formula>
    </cfRule>
    <cfRule type="cellIs" dxfId="560" priority="19" operator="equal">
      <formula>7</formula>
    </cfRule>
    <cfRule type="cellIs" dxfId="559" priority="18" operator="lessThan">
      <formula>7</formula>
    </cfRule>
  </conditionalFormatting>
  <conditionalFormatting sqref="X7:X33">
    <cfRule type="cellIs" dxfId="558" priority="40" operator="equal">
      <formula>40</formula>
    </cfRule>
    <cfRule type="cellIs" dxfId="557" priority="41" operator="lessThan">
      <formula>39</formula>
    </cfRule>
    <cfRule type="cellIs" dxfId="556" priority="42" operator="greaterThan">
      <formula>41</formula>
    </cfRule>
  </conditionalFormatting>
  <conditionalFormatting sqref="X7:X34">
    <cfRule type="cellIs" dxfId="555" priority="26" operator="greaterThan">
      <formula>25</formula>
    </cfRule>
    <cfRule type="cellIs" dxfId="554" priority="25" operator="lessThan">
      <formula>25</formula>
    </cfRule>
  </conditionalFormatting>
  <conditionalFormatting sqref="AD7:AD33">
    <cfRule type="cellIs" dxfId="553" priority="13" operator="greaterThan">
      <formula>0</formula>
    </cfRule>
    <cfRule type="cellIs" dxfId="552" priority="12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A67F-8FAC-4241-8AD1-77D33EE06B92}">
  <dimension ref="B1:AF38"/>
  <sheetViews>
    <sheetView zoomScale="40" zoomScaleNormal="40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33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551" priority="10" operator="lessThan">
      <formula>15499</formula>
    </cfRule>
    <cfRule type="cellIs" dxfId="550" priority="11" operator="greaterThan">
      <formula>15501</formula>
    </cfRule>
  </conditionalFormatting>
  <conditionalFormatting sqref="E6:E35 G6:G35">
    <cfRule type="containsText" dxfId="549" priority="24" operator="containsText" text="2">
      <formula>NOT(ISERROR(SEARCH("2",E6)))</formula>
    </cfRule>
    <cfRule type="containsText" dxfId="548" priority="25" operator="containsText" text="1">
      <formula>NOT(ISERROR(SEARCH("1",E6)))</formula>
    </cfRule>
    <cfRule type="containsText" dxfId="547" priority="22" operator="containsText" text="4">
      <formula>NOT(ISERROR(SEARCH("4",E6)))</formula>
    </cfRule>
    <cfRule type="containsText" dxfId="546" priority="23" operator="containsText" text="3">
      <formula>NOT(ISERROR(SEARCH("3",E6)))</formula>
    </cfRule>
  </conditionalFormatting>
  <conditionalFormatting sqref="F6:F35">
    <cfRule type="cellIs" dxfId="545" priority="34" operator="lessThan">
      <formula>12799</formula>
    </cfRule>
    <cfRule type="cellIs" dxfId="544" priority="38" operator="greaterThan">
      <formula>12801</formula>
    </cfRule>
    <cfRule type="cellIs" dxfId="543" priority="35" operator="greaterThan">
      <formula>12801</formula>
    </cfRule>
  </conditionalFormatting>
  <conditionalFormatting sqref="H6:H35">
    <cfRule type="cellIs" dxfId="542" priority="28" operator="greaterThan">
      <formula>25501</formula>
    </cfRule>
    <cfRule type="cellIs" dxfId="541" priority="27" operator="lessThan">
      <formula>25499</formula>
    </cfRule>
    <cfRule type="cellIs" dxfId="540" priority="46" operator="greaterThan">
      <formula>24999</formula>
    </cfRule>
    <cfRule type="cellIs" dxfId="539" priority="45" operator="lessThan">
      <formula>24999</formula>
    </cfRule>
    <cfRule type="cellIs" dxfId="538" priority="44" operator="equal">
      <formula>25000</formula>
    </cfRule>
  </conditionalFormatting>
  <conditionalFormatting sqref="H36">
    <cfRule type="cellIs" dxfId="537" priority="13" operator="lessThan">
      <formula>$I$36</formula>
    </cfRule>
    <cfRule type="cellIs" dxfId="536" priority="12" operator="greaterThan">
      <formula>$I$36</formula>
    </cfRule>
  </conditionalFormatting>
  <conditionalFormatting sqref="J6:J35">
    <cfRule type="cellIs" dxfId="535" priority="43" operator="lessThan">
      <formula>1</formula>
    </cfRule>
  </conditionalFormatting>
  <conditionalFormatting sqref="J6:J36">
    <cfRule type="cellIs" dxfId="534" priority="19" operator="greaterThan">
      <formula>1</formula>
    </cfRule>
  </conditionalFormatting>
  <conditionalFormatting sqref="J36">
    <cfRule type="cellIs" dxfId="533" priority="18" operator="lessThan">
      <formula>0</formula>
    </cfRule>
  </conditionalFormatting>
  <conditionalFormatting sqref="M6:M36">
    <cfRule type="cellIs" dxfId="532" priority="16" operator="lessThan">
      <formula>1</formula>
    </cfRule>
    <cfRule type="cellIs" dxfId="531" priority="17" operator="greaterThan">
      <formula>1</formula>
    </cfRule>
  </conditionalFormatting>
  <conditionalFormatting sqref="O6:O35">
    <cfRule type="containsText" dxfId="530" priority="20" operator="containsText" text="X">
      <formula>NOT(ISERROR(SEARCH("X",O6)))</formula>
    </cfRule>
    <cfRule type="containsText" dxfId="529" priority="21" operator="containsText" text="W">
      <formula>NOT(ISERROR(SEARCH("W",O6)))</formula>
    </cfRule>
  </conditionalFormatting>
  <conditionalFormatting sqref="O9:O35">
    <cfRule type="containsText" dxfId="528" priority="55" operator="containsText" text="W">
      <formula>NOT(ISERROR(SEARCH("W",O9)))</formula>
    </cfRule>
    <cfRule type="containsText" dxfId="527" priority="54" operator="containsText" text="X">
      <formula>NOT(ISERROR(SEARCH("X",O9)))</formula>
    </cfRule>
  </conditionalFormatting>
  <conditionalFormatting sqref="P6:P35">
    <cfRule type="cellIs" dxfId="526" priority="51" operator="equal">
      <formula>1</formula>
    </cfRule>
    <cfRule type="cellIs" dxfId="525" priority="52" operator="lessThan">
      <formula>1</formula>
    </cfRule>
    <cfRule type="cellIs" dxfId="524" priority="53" operator="greaterThan">
      <formula>1</formula>
    </cfRule>
  </conditionalFormatting>
  <conditionalFormatting sqref="R6:R35">
    <cfRule type="containsText" dxfId="523" priority="26" operator="containsText" text="Y">
      <formula>NOT(ISERROR(SEARCH("Y",R6)))</formula>
    </cfRule>
    <cfRule type="containsText" dxfId="522" priority="36" operator="containsText" text="N">
      <formula>NOT(ISERROR(SEARCH("N",R6)))</formula>
    </cfRule>
    <cfRule type="containsText" dxfId="521" priority="37" operator="containsText" text="Y">
      <formula>NOT(ISERROR(SEARCH("Y",R6)))</formula>
    </cfRule>
  </conditionalFormatting>
  <conditionalFormatting sqref="S6:S35">
    <cfRule type="cellIs" dxfId="520" priority="47" operator="between">
      <formula>40</formula>
      <formula>49</formula>
    </cfRule>
    <cfRule type="cellIs" dxfId="519" priority="48" operator="lessThan">
      <formula>49</formula>
    </cfRule>
    <cfRule type="cellIs" dxfId="518" priority="50" operator="equal">
      <formula>40</formula>
    </cfRule>
    <cfRule type="cellIs" dxfId="517" priority="49" operator="greaterThan">
      <formula>49</formula>
    </cfRule>
  </conditionalFormatting>
  <conditionalFormatting sqref="T6:T35">
    <cfRule type="cellIs" dxfId="516" priority="39" operator="lessThan">
      <formula>71</formula>
    </cfRule>
    <cfRule type="cellIs" dxfId="515" priority="40" operator="greaterThan">
      <formula>72</formula>
    </cfRule>
  </conditionalFormatting>
  <conditionalFormatting sqref="T6:U35">
    <cfRule type="cellIs" dxfId="514" priority="3" operator="lessThan">
      <formula>75</formula>
    </cfRule>
    <cfRule type="cellIs" dxfId="513" priority="4" operator="greaterThan">
      <formula>76</formula>
    </cfRule>
    <cfRule type="cellIs" dxfId="512" priority="32" operator="lessThan">
      <formula>71</formula>
    </cfRule>
    <cfRule type="cellIs" dxfId="511" priority="33" operator="greaterThan">
      <formula>73</formula>
    </cfRule>
  </conditionalFormatting>
  <conditionalFormatting sqref="U6:U35">
    <cfRule type="cellIs" dxfId="510" priority="41" operator="lessThan">
      <formula>79</formula>
    </cfRule>
    <cfRule type="cellIs" dxfId="509" priority="42" operator="greaterThan">
      <formula>80</formula>
    </cfRule>
  </conditionalFormatting>
  <conditionalFormatting sqref="V6:W35">
    <cfRule type="cellIs" dxfId="508" priority="9" operator="greaterThan">
      <formula>8</formula>
    </cfRule>
    <cfRule type="cellIs" dxfId="507" priority="8" operator="equal">
      <formula>7</formula>
    </cfRule>
    <cfRule type="cellIs" dxfId="506" priority="7" operator="lessThan">
      <formula>7</formula>
    </cfRule>
  </conditionalFormatting>
  <conditionalFormatting sqref="X6:X35">
    <cfRule type="cellIs" dxfId="505" priority="30" operator="lessThan">
      <formula>39</formula>
    </cfRule>
    <cfRule type="cellIs" dxfId="504" priority="31" operator="greaterThan">
      <formula>41</formula>
    </cfRule>
    <cfRule type="cellIs" dxfId="503" priority="29" operator="equal">
      <formula>40</formula>
    </cfRule>
  </conditionalFormatting>
  <conditionalFormatting sqref="X6:X36">
    <cfRule type="cellIs" dxfId="502" priority="15" operator="greaterThan">
      <formula>25</formula>
    </cfRule>
    <cfRule type="cellIs" dxfId="501" priority="14" operator="lessThan">
      <formula>25</formula>
    </cfRule>
  </conditionalFormatting>
  <conditionalFormatting sqref="Z6:Z35">
    <cfRule type="cellIs" dxfId="500" priority="5" operator="greaterThan">
      <formula>876</formula>
    </cfRule>
    <cfRule type="cellIs" dxfId="499" priority="6" operator="lessThan">
      <formula>874</formula>
    </cfRule>
  </conditionalFormatting>
  <conditionalFormatting sqref="AE6:AE35">
    <cfRule type="cellIs" dxfId="498" priority="2" operator="greaterThan">
      <formula>0</formula>
    </cfRule>
    <cfRule type="cellIs" dxfId="497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D8E8-B29B-4852-BBED-0D78E6FE1875}">
  <dimension ref="B1:AF38"/>
  <sheetViews>
    <sheetView zoomScale="40" zoomScaleNormal="40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34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496" priority="10" operator="lessThan">
      <formula>15499</formula>
    </cfRule>
    <cfRule type="cellIs" dxfId="495" priority="11" operator="greaterThan">
      <formula>15501</formula>
    </cfRule>
  </conditionalFormatting>
  <conditionalFormatting sqref="E6:E35 G6:G35">
    <cfRule type="containsText" dxfId="494" priority="24" operator="containsText" text="2">
      <formula>NOT(ISERROR(SEARCH("2",E6)))</formula>
    </cfRule>
    <cfRule type="containsText" dxfId="493" priority="25" operator="containsText" text="1">
      <formula>NOT(ISERROR(SEARCH("1",E6)))</formula>
    </cfRule>
    <cfRule type="containsText" dxfId="492" priority="22" operator="containsText" text="4">
      <formula>NOT(ISERROR(SEARCH("4",E6)))</formula>
    </cfRule>
    <cfRule type="containsText" dxfId="491" priority="23" operator="containsText" text="3">
      <formula>NOT(ISERROR(SEARCH("3",E6)))</formula>
    </cfRule>
  </conditionalFormatting>
  <conditionalFormatting sqref="F6:F35">
    <cfRule type="cellIs" dxfId="490" priority="34" operator="lessThan">
      <formula>12799</formula>
    </cfRule>
    <cfRule type="cellIs" dxfId="489" priority="38" operator="greaterThan">
      <formula>12801</formula>
    </cfRule>
    <cfRule type="cellIs" dxfId="488" priority="35" operator="greaterThan">
      <formula>12801</formula>
    </cfRule>
  </conditionalFormatting>
  <conditionalFormatting sqref="H6:H35">
    <cfRule type="cellIs" dxfId="487" priority="28" operator="greaterThan">
      <formula>25501</formula>
    </cfRule>
    <cfRule type="cellIs" dxfId="486" priority="27" operator="lessThan">
      <formula>25499</formula>
    </cfRule>
    <cfRule type="cellIs" dxfId="485" priority="46" operator="greaterThan">
      <formula>24999</formula>
    </cfRule>
    <cfRule type="cellIs" dxfId="484" priority="45" operator="lessThan">
      <formula>24999</formula>
    </cfRule>
    <cfRule type="cellIs" dxfId="483" priority="44" operator="equal">
      <formula>25000</formula>
    </cfRule>
  </conditionalFormatting>
  <conditionalFormatting sqref="H36">
    <cfRule type="cellIs" dxfId="482" priority="13" operator="lessThan">
      <formula>$I$36</formula>
    </cfRule>
    <cfRule type="cellIs" dxfId="481" priority="12" operator="greaterThan">
      <formula>$I$36</formula>
    </cfRule>
  </conditionalFormatting>
  <conditionalFormatting sqref="J6:J35">
    <cfRule type="cellIs" dxfId="480" priority="43" operator="lessThan">
      <formula>1</formula>
    </cfRule>
  </conditionalFormatting>
  <conditionalFormatting sqref="J6:J36">
    <cfRule type="cellIs" dxfId="479" priority="19" operator="greaterThan">
      <formula>1</formula>
    </cfRule>
  </conditionalFormatting>
  <conditionalFormatting sqref="J36">
    <cfRule type="cellIs" dxfId="478" priority="18" operator="lessThan">
      <formula>0</formula>
    </cfRule>
  </conditionalFormatting>
  <conditionalFormatting sqref="M6:M36">
    <cfRule type="cellIs" dxfId="477" priority="16" operator="lessThan">
      <formula>1</formula>
    </cfRule>
    <cfRule type="cellIs" dxfId="476" priority="17" operator="greaterThan">
      <formula>1</formula>
    </cfRule>
  </conditionalFormatting>
  <conditionalFormatting sqref="O6:O35">
    <cfRule type="containsText" dxfId="475" priority="20" operator="containsText" text="X">
      <formula>NOT(ISERROR(SEARCH("X",O6)))</formula>
    </cfRule>
    <cfRule type="containsText" dxfId="474" priority="21" operator="containsText" text="W">
      <formula>NOT(ISERROR(SEARCH("W",O6)))</formula>
    </cfRule>
  </conditionalFormatting>
  <conditionalFormatting sqref="O9:O35">
    <cfRule type="containsText" dxfId="473" priority="55" operator="containsText" text="W">
      <formula>NOT(ISERROR(SEARCH("W",O9)))</formula>
    </cfRule>
    <cfRule type="containsText" dxfId="472" priority="54" operator="containsText" text="X">
      <formula>NOT(ISERROR(SEARCH("X",O9)))</formula>
    </cfRule>
  </conditionalFormatting>
  <conditionalFormatting sqref="P6:P35">
    <cfRule type="cellIs" dxfId="471" priority="51" operator="equal">
      <formula>1</formula>
    </cfRule>
    <cfRule type="cellIs" dxfId="470" priority="52" operator="lessThan">
      <formula>1</formula>
    </cfRule>
    <cfRule type="cellIs" dxfId="469" priority="53" operator="greaterThan">
      <formula>1</formula>
    </cfRule>
  </conditionalFormatting>
  <conditionalFormatting sqref="R6:R35">
    <cfRule type="containsText" dxfId="468" priority="26" operator="containsText" text="Y">
      <formula>NOT(ISERROR(SEARCH("Y",R6)))</formula>
    </cfRule>
    <cfRule type="containsText" dxfId="467" priority="36" operator="containsText" text="N">
      <formula>NOT(ISERROR(SEARCH("N",R6)))</formula>
    </cfRule>
    <cfRule type="containsText" dxfId="466" priority="37" operator="containsText" text="Y">
      <formula>NOT(ISERROR(SEARCH("Y",R6)))</formula>
    </cfRule>
  </conditionalFormatting>
  <conditionalFormatting sqref="S6:S35">
    <cfRule type="cellIs" dxfId="465" priority="47" operator="between">
      <formula>40</formula>
      <formula>49</formula>
    </cfRule>
    <cfRule type="cellIs" dxfId="464" priority="48" operator="lessThan">
      <formula>49</formula>
    </cfRule>
    <cfRule type="cellIs" dxfId="463" priority="50" operator="equal">
      <formula>40</formula>
    </cfRule>
    <cfRule type="cellIs" dxfId="462" priority="49" operator="greaterThan">
      <formula>49</formula>
    </cfRule>
  </conditionalFormatting>
  <conditionalFormatting sqref="T6:T35">
    <cfRule type="cellIs" dxfId="461" priority="39" operator="lessThan">
      <formula>71</formula>
    </cfRule>
    <cfRule type="cellIs" dxfId="460" priority="40" operator="greaterThan">
      <formula>72</formula>
    </cfRule>
  </conditionalFormatting>
  <conditionalFormatting sqref="T6:U35">
    <cfRule type="cellIs" dxfId="459" priority="3" operator="lessThan">
      <formula>75</formula>
    </cfRule>
    <cfRule type="cellIs" dxfId="458" priority="4" operator="greaterThan">
      <formula>76</formula>
    </cfRule>
    <cfRule type="cellIs" dxfId="457" priority="32" operator="lessThan">
      <formula>71</formula>
    </cfRule>
    <cfRule type="cellIs" dxfId="456" priority="33" operator="greaterThan">
      <formula>73</formula>
    </cfRule>
  </conditionalFormatting>
  <conditionalFormatting sqref="U6:U35">
    <cfRule type="cellIs" dxfId="455" priority="41" operator="lessThan">
      <formula>79</formula>
    </cfRule>
    <cfRule type="cellIs" dxfId="454" priority="42" operator="greaterThan">
      <formula>80</formula>
    </cfRule>
  </conditionalFormatting>
  <conditionalFormatting sqref="V6:W35">
    <cfRule type="cellIs" dxfId="453" priority="9" operator="greaterThan">
      <formula>8</formula>
    </cfRule>
    <cfRule type="cellIs" dxfId="452" priority="8" operator="equal">
      <formula>7</formula>
    </cfRule>
    <cfRule type="cellIs" dxfId="451" priority="7" operator="lessThan">
      <formula>7</formula>
    </cfRule>
  </conditionalFormatting>
  <conditionalFormatting sqref="X6:X35">
    <cfRule type="cellIs" dxfId="450" priority="30" operator="lessThan">
      <formula>39</formula>
    </cfRule>
    <cfRule type="cellIs" dxfId="449" priority="31" operator="greaterThan">
      <formula>41</formula>
    </cfRule>
    <cfRule type="cellIs" dxfId="448" priority="29" operator="equal">
      <formula>40</formula>
    </cfRule>
  </conditionalFormatting>
  <conditionalFormatting sqref="X6:X36">
    <cfRule type="cellIs" dxfId="447" priority="15" operator="greaterThan">
      <formula>25</formula>
    </cfRule>
    <cfRule type="cellIs" dxfId="446" priority="14" operator="lessThan">
      <formula>25</formula>
    </cfRule>
  </conditionalFormatting>
  <conditionalFormatting sqref="Z6:Z35">
    <cfRule type="cellIs" dxfId="445" priority="5" operator="greaterThan">
      <formula>876</formula>
    </cfRule>
    <cfRule type="cellIs" dxfId="444" priority="6" operator="lessThan">
      <formula>874</formula>
    </cfRule>
  </conditionalFormatting>
  <conditionalFormatting sqref="AE6:AE35">
    <cfRule type="cellIs" dxfId="443" priority="2" operator="greaterThan">
      <formula>0</formula>
    </cfRule>
    <cfRule type="cellIs" dxfId="442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F8F3-A0B3-4838-816B-64DE871D1380}">
  <dimension ref="B1:AF38"/>
  <sheetViews>
    <sheetView zoomScale="40" zoomScaleNormal="40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35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441" priority="10" operator="lessThan">
      <formula>15499</formula>
    </cfRule>
    <cfRule type="cellIs" dxfId="440" priority="11" operator="greaterThan">
      <formula>15501</formula>
    </cfRule>
  </conditionalFormatting>
  <conditionalFormatting sqref="E6:E35 G6:G35">
    <cfRule type="containsText" dxfId="439" priority="24" operator="containsText" text="2">
      <formula>NOT(ISERROR(SEARCH("2",E6)))</formula>
    </cfRule>
    <cfRule type="containsText" dxfId="438" priority="25" operator="containsText" text="1">
      <formula>NOT(ISERROR(SEARCH("1",E6)))</formula>
    </cfRule>
    <cfRule type="containsText" dxfId="437" priority="22" operator="containsText" text="4">
      <formula>NOT(ISERROR(SEARCH("4",E6)))</formula>
    </cfRule>
    <cfRule type="containsText" dxfId="436" priority="23" operator="containsText" text="3">
      <formula>NOT(ISERROR(SEARCH("3",E6)))</formula>
    </cfRule>
  </conditionalFormatting>
  <conditionalFormatting sqref="F6:F35">
    <cfRule type="cellIs" dxfId="435" priority="34" operator="lessThan">
      <formula>12799</formula>
    </cfRule>
    <cfRule type="cellIs" dxfId="434" priority="38" operator="greaterThan">
      <formula>12801</formula>
    </cfRule>
    <cfRule type="cellIs" dxfId="433" priority="35" operator="greaterThan">
      <formula>12801</formula>
    </cfRule>
  </conditionalFormatting>
  <conditionalFormatting sqref="H6:H35">
    <cfRule type="cellIs" dxfId="432" priority="28" operator="greaterThan">
      <formula>25501</formula>
    </cfRule>
    <cfRule type="cellIs" dxfId="431" priority="27" operator="lessThan">
      <formula>25499</formula>
    </cfRule>
    <cfRule type="cellIs" dxfId="430" priority="46" operator="greaterThan">
      <formula>24999</formula>
    </cfRule>
    <cfRule type="cellIs" dxfId="429" priority="45" operator="lessThan">
      <formula>24999</formula>
    </cfRule>
    <cfRule type="cellIs" dxfId="428" priority="44" operator="equal">
      <formula>25000</formula>
    </cfRule>
  </conditionalFormatting>
  <conditionalFormatting sqref="H36">
    <cfRule type="cellIs" dxfId="427" priority="13" operator="lessThan">
      <formula>$I$36</formula>
    </cfRule>
    <cfRule type="cellIs" dxfId="426" priority="12" operator="greaterThan">
      <formula>$I$36</formula>
    </cfRule>
  </conditionalFormatting>
  <conditionalFormatting sqref="J6:J35">
    <cfRule type="cellIs" dxfId="425" priority="43" operator="lessThan">
      <formula>1</formula>
    </cfRule>
  </conditionalFormatting>
  <conditionalFormatting sqref="J6:J36">
    <cfRule type="cellIs" dxfId="424" priority="19" operator="greaterThan">
      <formula>1</formula>
    </cfRule>
  </conditionalFormatting>
  <conditionalFormatting sqref="J36">
    <cfRule type="cellIs" dxfId="423" priority="18" operator="lessThan">
      <formula>0</formula>
    </cfRule>
  </conditionalFormatting>
  <conditionalFormatting sqref="M6:M36">
    <cfRule type="cellIs" dxfId="422" priority="16" operator="lessThan">
      <formula>1</formula>
    </cfRule>
    <cfRule type="cellIs" dxfId="421" priority="17" operator="greaterThan">
      <formula>1</formula>
    </cfRule>
  </conditionalFormatting>
  <conditionalFormatting sqref="O6:O35">
    <cfRule type="containsText" dxfId="420" priority="20" operator="containsText" text="X">
      <formula>NOT(ISERROR(SEARCH("X",O6)))</formula>
    </cfRule>
    <cfRule type="containsText" dxfId="419" priority="21" operator="containsText" text="W">
      <formula>NOT(ISERROR(SEARCH("W",O6)))</formula>
    </cfRule>
  </conditionalFormatting>
  <conditionalFormatting sqref="O9:O35">
    <cfRule type="containsText" dxfId="418" priority="55" operator="containsText" text="W">
      <formula>NOT(ISERROR(SEARCH("W",O9)))</formula>
    </cfRule>
    <cfRule type="containsText" dxfId="417" priority="54" operator="containsText" text="X">
      <formula>NOT(ISERROR(SEARCH("X",O9)))</formula>
    </cfRule>
  </conditionalFormatting>
  <conditionalFormatting sqref="P6:P35">
    <cfRule type="cellIs" dxfId="416" priority="51" operator="equal">
      <formula>1</formula>
    </cfRule>
    <cfRule type="cellIs" dxfId="415" priority="52" operator="lessThan">
      <formula>1</formula>
    </cfRule>
    <cfRule type="cellIs" dxfId="414" priority="53" operator="greaterThan">
      <formula>1</formula>
    </cfRule>
  </conditionalFormatting>
  <conditionalFormatting sqref="R6:R35">
    <cfRule type="containsText" dxfId="413" priority="26" operator="containsText" text="Y">
      <formula>NOT(ISERROR(SEARCH("Y",R6)))</formula>
    </cfRule>
    <cfRule type="containsText" dxfId="412" priority="36" operator="containsText" text="N">
      <formula>NOT(ISERROR(SEARCH("N",R6)))</formula>
    </cfRule>
    <cfRule type="containsText" dxfId="411" priority="37" operator="containsText" text="Y">
      <formula>NOT(ISERROR(SEARCH("Y",R6)))</formula>
    </cfRule>
  </conditionalFormatting>
  <conditionalFormatting sqref="S6:S35">
    <cfRule type="cellIs" dxfId="410" priority="47" operator="between">
      <formula>40</formula>
      <formula>49</formula>
    </cfRule>
    <cfRule type="cellIs" dxfId="409" priority="48" operator="lessThan">
      <formula>49</formula>
    </cfRule>
    <cfRule type="cellIs" dxfId="408" priority="50" operator="equal">
      <formula>40</formula>
    </cfRule>
    <cfRule type="cellIs" dxfId="407" priority="49" operator="greaterThan">
      <formula>49</formula>
    </cfRule>
  </conditionalFormatting>
  <conditionalFormatting sqref="T6:T35">
    <cfRule type="cellIs" dxfId="406" priority="39" operator="lessThan">
      <formula>71</formula>
    </cfRule>
    <cfRule type="cellIs" dxfId="405" priority="40" operator="greaterThan">
      <formula>72</formula>
    </cfRule>
  </conditionalFormatting>
  <conditionalFormatting sqref="T6:U35">
    <cfRule type="cellIs" dxfId="404" priority="3" operator="lessThan">
      <formula>75</formula>
    </cfRule>
    <cfRule type="cellIs" dxfId="403" priority="4" operator="greaterThan">
      <formula>76</formula>
    </cfRule>
    <cfRule type="cellIs" dxfId="402" priority="32" operator="lessThan">
      <formula>71</formula>
    </cfRule>
    <cfRule type="cellIs" dxfId="401" priority="33" operator="greaterThan">
      <formula>73</formula>
    </cfRule>
  </conditionalFormatting>
  <conditionalFormatting sqref="U6:U35">
    <cfRule type="cellIs" dxfId="400" priority="41" operator="lessThan">
      <formula>79</formula>
    </cfRule>
    <cfRule type="cellIs" dxfId="399" priority="42" operator="greaterThan">
      <formula>80</formula>
    </cfRule>
  </conditionalFormatting>
  <conditionalFormatting sqref="V6:W35">
    <cfRule type="cellIs" dxfId="398" priority="9" operator="greaterThan">
      <formula>8</formula>
    </cfRule>
    <cfRule type="cellIs" dxfId="397" priority="8" operator="equal">
      <formula>7</formula>
    </cfRule>
    <cfRule type="cellIs" dxfId="396" priority="7" operator="lessThan">
      <formula>7</formula>
    </cfRule>
  </conditionalFormatting>
  <conditionalFormatting sqref="X6:X35">
    <cfRule type="cellIs" dxfId="395" priority="30" operator="lessThan">
      <formula>39</formula>
    </cfRule>
    <cfRule type="cellIs" dxfId="394" priority="31" operator="greaterThan">
      <formula>41</formula>
    </cfRule>
    <cfRule type="cellIs" dxfId="393" priority="29" operator="equal">
      <formula>40</formula>
    </cfRule>
  </conditionalFormatting>
  <conditionalFormatting sqref="X6:X36">
    <cfRule type="cellIs" dxfId="392" priority="15" operator="greaterThan">
      <formula>25</formula>
    </cfRule>
    <cfRule type="cellIs" dxfId="391" priority="14" operator="lessThan">
      <formula>25</formula>
    </cfRule>
  </conditionalFormatting>
  <conditionalFormatting sqref="Z6:Z35">
    <cfRule type="cellIs" dxfId="390" priority="5" operator="greaterThan">
      <formula>876</formula>
    </cfRule>
    <cfRule type="cellIs" dxfId="389" priority="6" operator="lessThan">
      <formula>874</formula>
    </cfRule>
  </conditionalFormatting>
  <conditionalFormatting sqref="AE6:AE35">
    <cfRule type="cellIs" dxfId="388" priority="2" operator="greaterThan">
      <formula>0</formula>
    </cfRule>
    <cfRule type="cellIs" dxfId="387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BFBB-C7EB-403F-8531-F929A0743CB9}">
  <dimension ref="B1:AF38"/>
  <sheetViews>
    <sheetView zoomScale="40" zoomScaleNormal="40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36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386" priority="10" operator="lessThan">
      <formula>15499</formula>
    </cfRule>
    <cfRule type="cellIs" dxfId="385" priority="11" operator="greaterThan">
      <formula>15501</formula>
    </cfRule>
  </conditionalFormatting>
  <conditionalFormatting sqref="E6:E35 G6:G35">
    <cfRule type="containsText" dxfId="384" priority="24" operator="containsText" text="2">
      <formula>NOT(ISERROR(SEARCH("2",E6)))</formula>
    </cfRule>
    <cfRule type="containsText" dxfId="383" priority="25" operator="containsText" text="1">
      <formula>NOT(ISERROR(SEARCH("1",E6)))</formula>
    </cfRule>
    <cfRule type="containsText" dxfId="382" priority="22" operator="containsText" text="4">
      <formula>NOT(ISERROR(SEARCH("4",E6)))</formula>
    </cfRule>
    <cfRule type="containsText" dxfId="381" priority="23" operator="containsText" text="3">
      <formula>NOT(ISERROR(SEARCH("3",E6)))</formula>
    </cfRule>
  </conditionalFormatting>
  <conditionalFormatting sqref="F6:F35">
    <cfRule type="cellIs" dxfId="380" priority="34" operator="lessThan">
      <formula>12799</formula>
    </cfRule>
    <cfRule type="cellIs" dxfId="379" priority="38" operator="greaterThan">
      <formula>12801</formula>
    </cfRule>
    <cfRule type="cellIs" dxfId="378" priority="35" operator="greaterThan">
      <formula>12801</formula>
    </cfRule>
  </conditionalFormatting>
  <conditionalFormatting sqref="H6:H35">
    <cfRule type="cellIs" dxfId="377" priority="28" operator="greaterThan">
      <formula>25501</formula>
    </cfRule>
    <cfRule type="cellIs" dxfId="376" priority="27" operator="lessThan">
      <formula>25499</formula>
    </cfRule>
    <cfRule type="cellIs" dxfId="375" priority="46" operator="greaterThan">
      <formula>24999</formula>
    </cfRule>
    <cfRule type="cellIs" dxfId="374" priority="45" operator="lessThan">
      <formula>24999</formula>
    </cfRule>
    <cfRule type="cellIs" dxfId="373" priority="44" operator="equal">
      <formula>25000</formula>
    </cfRule>
  </conditionalFormatting>
  <conditionalFormatting sqref="H36">
    <cfRule type="cellIs" dxfId="372" priority="13" operator="lessThan">
      <formula>$I$36</formula>
    </cfRule>
    <cfRule type="cellIs" dxfId="371" priority="12" operator="greaterThan">
      <formula>$I$36</formula>
    </cfRule>
  </conditionalFormatting>
  <conditionalFormatting sqref="J6:J35">
    <cfRule type="cellIs" dxfId="370" priority="43" operator="lessThan">
      <formula>1</formula>
    </cfRule>
  </conditionalFormatting>
  <conditionalFormatting sqref="J6:J36">
    <cfRule type="cellIs" dxfId="369" priority="19" operator="greaterThan">
      <formula>1</formula>
    </cfRule>
  </conditionalFormatting>
  <conditionalFormatting sqref="J36">
    <cfRule type="cellIs" dxfId="368" priority="18" operator="lessThan">
      <formula>0</formula>
    </cfRule>
  </conditionalFormatting>
  <conditionalFormatting sqref="M6:M36">
    <cfRule type="cellIs" dxfId="367" priority="16" operator="lessThan">
      <formula>1</formula>
    </cfRule>
    <cfRule type="cellIs" dxfId="366" priority="17" operator="greaterThan">
      <formula>1</formula>
    </cfRule>
  </conditionalFormatting>
  <conditionalFormatting sqref="O6:O35">
    <cfRule type="containsText" dxfId="365" priority="20" operator="containsText" text="X">
      <formula>NOT(ISERROR(SEARCH("X",O6)))</formula>
    </cfRule>
    <cfRule type="containsText" dxfId="364" priority="21" operator="containsText" text="W">
      <formula>NOT(ISERROR(SEARCH("W",O6)))</formula>
    </cfRule>
  </conditionalFormatting>
  <conditionalFormatting sqref="O9:O35">
    <cfRule type="containsText" dxfId="363" priority="55" operator="containsText" text="W">
      <formula>NOT(ISERROR(SEARCH("W",O9)))</formula>
    </cfRule>
    <cfRule type="containsText" dxfId="362" priority="54" operator="containsText" text="X">
      <formula>NOT(ISERROR(SEARCH("X",O9)))</formula>
    </cfRule>
  </conditionalFormatting>
  <conditionalFormatting sqref="P6:P35">
    <cfRule type="cellIs" dxfId="361" priority="51" operator="equal">
      <formula>1</formula>
    </cfRule>
    <cfRule type="cellIs" dxfId="360" priority="52" operator="lessThan">
      <formula>1</formula>
    </cfRule>
    <cfRule type="cellIs" dxfId="359" priority="53" operator="greaterThan">
      <formula>1</formula>
    </cfRule>
  </conditionalFormatting>
  <conditionalFormatting sqref="R6:R35">
    <cfRule type="containsText" dxfId="358" priority="26" operator="containsText" text="Y">
      <formula>NOT(ISERROR(SEARCH("Y",R6)))</formula>
    </cfRule>
    <cfRule type="containsText" dxfId="357" priority="36" operator="containsText" text="N">
      <formula>NOT(ISERROR(SEARCH("N",R6)))</formula>
    </cfRule>
    <cfRule type="containsText" dxfId="356" priority="37" operator="containsText" text="Y">
      <formula>NOT(ISERROR(SEARCH("Y",R6)))</formula>
    </cfRule>
  </conditionalFormatting>
  <conditionalFormatting sqref="S6:S35">
    <cfRule type="cellIs" dxfId="355" priority="47" operator="between">
      <formula>40</formula>
      <formula>49</formula>
    </cfRule>
    <cfRule type="cellIs" dxfId="354" priority="48" operator="lessThan">
      <formula>49</formula>
    </cfRule>
    <cfRule type="cellIs" dxfId="353" priority="50" operator="equal">
      <formula>40</formula>
    </cfRule>
    <cfRule type="cellIs" dxfId="352" priority="49" operator="greaterThan">
      <formula>49</formula>
    </cfRule>
  </conditionalFormatting>
  <conditionalFormatting sqref="T6:T35">
    <cfRule type="cellIs" dxfId="351" priority="39" operator="lessThan">
      <formula>71</formula>
    </cfRule>
    <cfRule type="cellIs" dxfId="350" priority="40" operator="greaterThan">
      <formula>72</formula>
    </cfRule>
  </conditionalFormatting>
  <conditionalFormatting sqref="T6:U35">
    <cfRule type="cellIs" dxfId="349" priority="3" operator="lessThan">
      <formula>75</formula>
    </cfRule>
    <cfRule type="cellIs" dxfId="348" priority="4" operator="greaterThan">
      <formula>76</formula>
    </cfRule>
    <cfRule type="cellIs" dxfId="347" priority="32" operator="lessThan">
      <formula>71</formula>
    </cfRule>
    <cfRule type="cellIs" dxfId="346" priority="33" operator="greaterThan">
      <formula>73</formula>
    </cfRule>
  </conditionalFormatting>
  <conditionalFormatting sqref="U6:U35">
    <cfRule type="cellIs" dxfId="345" priority="41" operator="lessThan">
      <formula>79</formula>
    </cfRule>
    <cfRule type="cellIs" dxfId="344" priority="42" operator="greaterThan">
      <formula>80</formula>
    </cfRule>
  </conditionalFormatting>
  <conditionalFormatting sqref="V6:W35">
    <cfRule type="cellIs" dxfId="343" priority="9" operator="greaterThan">
      <formula>8</formula>
    </cfRule>
    <cfRule type="cellIs" dxfId="342" priority="8" operator="equal">
      <formula>7</formula>
    </cfRule>
    <cfRule type="cellIs" dxfId="341" priority="7" operator="lessThan">
      <formula>7</formula>
    </cfRule>
  </conditionalFormatting>
  <conditionalFormatting sqref="X6:X35">
    <cfRule type="cellIs" dxfId="340" priority="30" operator="lessThan">
      <formula>39</formula>
    </cfRule>
    <cfRule type="cellIs" dxfId="339" priority="31" operator="greaterThan">
      <formula>41</formula>
    </cfRule>
    <cfRule type="cellIs" dxfId="338" priority="29" operator="equal">
      <formula>40</formula>
    </cfRule>
  </conditionalFormatting>
  <conditionalFormatting sqref="X6:X36">
    <cfRule type="cellIs" dxfId="337" priority="15" operator="greaterThan">
      <formula>25</formula>
    </cfRule>
    <cfRule type="cellIs" dxfId="336" priority="14" operator="lessThan">
      <formula>25</formula>
    </cfRule>
  </conditionalFormatting>
  <conditionalFormatting sqref="Z6:Z35">
    <cfRule type="cellIs" dxfId="335" priority="5" operator="greaterThan">
      <formula>876</formula>
    </cfRule>
    <cfRule type="cellIs" dxfId="334" priority="6" operator="lessThan">
      <formula>874</formula>
    </cfRule>
  </conditionalFormatting>
  <conditionalFormatting sqref="AE6:AE35">
    <cfRule type="cellIs" dxfId="333" priority="2" operator="greaterThan">
      <formula>0</formula>
    </cfRule>
    <cfRule type="cellIs" dxfId="332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A95B-B8DF-42CE-9E1E-27EF1918D995}">
  <dimension ref="B1:AF38"/>
  <sheetViews>
    <sheetView topLeftCell="K1" zoomScale="55" zoomScaleNormal="55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37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331" priority="10" operator="lessThan">
      <formula>15499</formula>
    </cfRule>
    <cfRule type="cellIs" dxfId="330" priority="11" operator="greaterThan">
      <formula>15501</formula>
    </cfRule>
  </conditionalFormatting>
  <conditionalFormatting sqref="E6:E35 G6:G35">
    <cfRule type="containsText" dxfId="329" priority="24" operator="containsText" text="2">
      <formula>NOT(ISERROR(SEARCH("2",E6)))</formula>
    </cfRule>
    <cfRule type="containsText" dxfId="328" priority="25" operator="containsText" text="1">
      <formula>NOT(ISERROR(SEARCH("1",E6)))</formula>
    </cfRule>
    <cfRule type="containsText" dxfId="327" priority="22" operator="containsText" text="4">
      <formula>NOT(ISERROR(SEARCH("4",E6)))</formula>
    </cfRule>
    <cfRule type="containsText" dxfId="326" priority="23" operator="containsText" text="3">
      <formula>NOT(ISERROR(SEARCH("3",E6)))</formula>
    </cfRule>
  </conditionalFormatting>
  <conditionalFormatting sqref="F6:F35">
    <cfRule type="cellIs" dxfId="325" priority="34" operator="lessThan">
      <formula>12799</formula>
    </cfRule>
    <cfRule type="cellIs" dxfId="324" priority="38" operator="greaterThan">
      <formula>12801</formula>
    </cfRule>
    <cfRule type="cellIs" dxfId="323" priority="35" operator="greaterThan">
      <formula>12801</formula>
    </cfRule>
  </conditionalFormatting>
  <conditionalFormatting sqref="H6:H35">
    <cfRule type="cellIs" dxfId="322" priority="28" operator="greaterThan">
      <formula>25501</formula>
    </cfRule>
    <cfRule type="cellIs" dxfId="321" priority="27" operator="lessThan">
      <formula>25499</formula>
    </cfRule>
    <cfRule type="cellIs" dxfId="320" priority="46" operator="greaterThan">
      <formula>24999</formula>
    </cfRule>
    <cfRule type="cellIs" dxfId="319" priority="45" operator="lessThan">
      <formula>24999</formula>
    </cfRule>
    <cfRule type="cellIs" dxfId="318" priority="44" operator="equal">
      <formula>25000</formula>
    </cfRule>
  </conditionalFormatting>
  <conditionalFormatting sqref="H36">
    <cfRule type="cellIs" dxfId="317" priority="13" operator="lessThan">
      <formula>$I$36</formula>
    </cfRule>
    <cfRule type="cellIs" dxfId="316" priority="12" operator="greaterThan">
      <formula>$I$36</formula>
    </cfRule>
  </conditionalFormatting>
  <conditionalFormatting sqref="J6:J35">
    <cfRule type="cellIs" dxfId="315" priority="43" operator="lessThan">
      <formula>1</formula>
    </cfRule>
  </conditionalFormatting>
  <conditionalFormatting sqref="J6:J36">
    <cfRule type="cellIs" dxfId="314" priority="19" operator="greaterThan">
      <formula>1</formula>
    </cfRule>
  </conditionalFormatting>
  <conditionalFormatting sqref="J36">
    <cfRule type="cellIs" dxfId="313" priority="18" operator="lessThan">
      <formula>0</formula>
    </cfRule>
  </conditionalFormatting>
  <conditionalFormatting sqref="M6:M36">
    <cfRule type="cellIs" dxfId="312" priority="16" operator="lessThan">
      <formula>1</formula>
    </cfRule>
    <cfRule type="cellIs" dxfId="311" priority="17" operator="greaterThan">
      <formula>1</formula>
    </cfRule>
  </conditionalFormatting>
  <conditionalFormatting sqref="O6:O35">
    <cfRule type="containsText" dxfId="310" priority="20" operator="containsText" text="X">
      <formula>NOT(ISERROR(SEARCH("X",O6)))</formula>
    </cfRule>
    <cfRule type="containsText" dxfId="309" priority="21" operator="containsText" text="W">
      <formula>NOT(ISERROR(SEARCH("W",O6)))</formula>
    </cfRule>
  </conditionalFormatting>
  <conditionalFormatting sqref="O9:O35">
    <cfRule type="containsText" dxfId="308" priority="55" operator="containsText" text="W">
      <formula>NOT(ISERROR(SEARCH("W",O9)))</formula>
    </cfRule>
    <cfRule type="containsText" dxfId="307" priority="54" operator="containsText" text="X">
      <formula>NOT(ISERROR(SEARCH("X",O9)))</formula>
    </cfRule>
  </conditionalFormatting>
  <conditionalFormatting sqref="P6:P35">
    <cfRule type="cellIs" dxfId="306" priority="51" operator="equal">
      <formula>1</formula>
    </cfRule>
    <cfRule type="cellIs" dxfId="305" priority="52" operator="lessThan">
      <formula>1</formula>
    </cfRule>
    <cfRule type="cellIs" dxfId="304" priority="53" operator="greaterThan">
      <formula>1</formula>
    </cfRule>
  </conditionalFormatting>
  <conditionalFormatting sqref="R6:R35">
    <cfRule type="containsText" dxfId="303" priority="26" operator="containsText" text="Y">
      <formula>NOT(ISERROR(SEARCH("Y",R6)))</formula>
    </cfRule>
    <cfRule type="containsText" dxfId="302" priority="36" operator="containsText" text="N">
      <formula>NOT(ISERROR(SEARCH("N",R6)))</formula>
    </cfRule>
    <cfRule type="containsText" dxfId="301" priority="37" operator="containsText" text="Y">
      <formula>NOT(ISERROR(SEARCH("Y",R6)))</formula>
    </cfRule>
  </conditionalFormatting>
  <conditionalFormatting sqref="S6:S35">
    <cfRule type="cellIs" dxfId="300" priority="47" operator="between">
      <formula>40</formula>
      <formula>49</formula>
    </cfRule>
    <cfRule type="cellIs" dxfId="299" priority="48" operator="lessThan">
      <formula>49</formula>
    </cfRule>
    <cfRule type="cellIs" dxfId="298" priority="50" operator="equal">
      <formula>40</formula>
    </cfRule>
    <cfRule type="cellIs" dxfId="297" priority="49" operator="greaterThan">
      <formula>49</formula>
    </cfRule>
  </conditionalFormatting>
  <conditionalFormatting sqref="T6:T35">
    <cfRule type="cellIs" dxfId="296" priority="39" operator="lessThan">
      <formula>71</formula>
    </cfRule>
    <cfRule type="cellIs" dxfId="295" priority="40" operator="greaterThan">
      <formula>72</formula>
    </cfRule>
  </conditionalFormatting>
  <conditionalFormatting sqref="T6:U35">
    <cfRule type="cellIs" dxfId="294" priority="3" operator="lessThan">
      <formula>75</formula>
    </cfRule>
    <cfRule type="cellIs" dxfId="293" priority="4" operator="greaterThan">
      <formula>76</formula>
    </cfRule>
    <cfRule type="cellIs" dxfId="292" priority="32" operator="lessThan">
      <formula>71</formula>
    </cfRule>
    <cfRule type="cellIs" dxfId="291" priority="33" operator="greaterThan">
      <formula>73</formula>
    </cfRule>
  </conditionalFormatting>
  <conditionalFormatting sqref="U6:U35">
    <cfRule type="cellIs" dxfId="290" priority="41" operator="lessThan">
      <formula>79</formula>
    </cfRule>
    <cfRule type="cellIs" dxfId="289" priority="42" operator="greaterThan">
      <formula>80</formula>
    </cfRule>
  </conditionalFormatting>
  <conditionalFormatting sqref="V6:W35">
    <cfRule type="cellIs" dxfId="288" priority="9" operator="greaterThan">
      <formula>8</formula>
    </cfRule>
    <cfRule type="cellIs" dxfId="287" priority="8" operator="equal">
      <formula>7</formula>
    </cfRule>
    <cfRule type="cellIs" dxfId="286" priority="7" operator="lessThan">
      <formula>7</formula>
    </cfRule>
  </conditionalFormatting>
  <conditionalFormatting sqref="X6:X35">
    <cfRule type="cellIs" dxfId="285" priority="30" operator="lessThan">
      <formula>39</formula>
    </cfRule>
    <cfRule type="cellIs" dxfId="284" priority="31" operator="greaterThan">
      <formula>41</formula>
    </cfRule>
    <cfRule type="cellIs" dxfId="283" priority="29" operator="equal">
      <formula>40</formula>
    </cfRule>
  </conditionalFormatting>
  <conditionalFormatting sqref="X6:X36">
    <cfRule type="cellIs" dxfId="282" priority="15" operator="greaterThan">
      <formula>25</formula>
    </cfRule>
    <cfRule type="cellIs" dxfId="281" priority="14" operator="lessThan">
      <formula>25</formula>
    </cfRule>
  </conditionalFormatting>
  <conditionalFormatting sqref="Z6:Z35">
    <cfRule type="cellIs" dxfId="280" priority="5" operator="greaterThan">
      <formula>876</formula>
    </cfRule>
    <cfRule type="cellIs" dxfId="279" priority="6" operator="lessThan">
      <formula>874</formula>
    </cfRule>
  </conditionalFormatting>
  <conditionalFormatting sqref="AE6:AE35">
    <cfRule type="cellIs" dxfId="278" priority="2" operator="greaterThan">
      <formula>0</formula>
    </cfRule>
    <cfRule type="cellIs" dxfId="277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C190-95DE-456D-A14F-E36514F37E35}">
  <dimension ref="B1:AF38"/>
  <sheetViews>
    <sheetView topLeftCell="I1" zoomScale="55" zoomScaleNormal="55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38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276" priority="10" operator="lessThan">
      <formula>15499</formula>
    </cfRule>
    <cfRule type="cellIs" dxfId="275" priority="11" operator="greaterThan">
      <formula>15501</formula>
    </cfRule>
  </conditionalFormatting>
  <conditionalFormatting sqref="E6:E35 G6:G35">
    <cfRule type="containsText" dxfId="274" priority="24" operator="containsText" text="2">
      <formula>NOT(ISERROR(SEARCH("2",E6)))</formula>
    </cfRule>
    <cfRule type="containsText" dxfId="273" priority="25" operator="containsText" text="1">
      <formula>NOT(ISERROR(SEARCH("1",E6)))</formula>
    </cfRule>
    <cfRule type="containsText" dxfId="272" priority="22" operator="containsText" text="4">
      <formula>NOT(ISERROR(SEARCH("4",E6)))</formula>
    </cfRule>
    <cfRule type="containsText" dxfId="271" priority="23" operator="containsText" text="3">
      <formula>NOT(ISERROR(SEARCH("3",E6)))</formula>
    </cfRule>
  </conditionalFormatting>
  <conditionalFormatting sqref="F6:F35">
    <cfRule type="cellIs" dxfId="270" priority="34" operator="lessThan">
      <formula>12799</formula>
    </cfRule>
    <cfRule type="cellIs" dxfId="269" priority="38" operator="greaterThan">
      <formula>12801</formula>
    </cfRule>
    <cfRule type="cellIs" dxfId="268" priority="35" operator="greaterThan">
      <formula>12801</formula>
    </cfRule>
  </conditionalFormatting>
  <conditionalFormatting sqref="H6:H35">
    <cfRule type="cellIs" dxfId="267" priority="28" operator="greaterThan">
      <formula>25501</formula>
    </cfRule>
    <cfRule type="cellIs" dxfId="266" priority="27" operator="lessThan">
      <formula>25499</formula>
    </cfRule>
    <cfRule type="cellIs" dxfId="265" priority="46" operator="greaterThan">
      <formula>24999</formula>
    </cfRule>
    <cfRule type="cellIs" dxfId="264" priority="45" operator="lessThan">
      <formula>24999</formula>
    </cfRule>
    <cfRule type="cellIs" dxfId="263" priority="44" operator="equal">
      <formula>25000</formula>
    </cfRule>
  </conditionalFormatting>
  <conditionalFormatting sqref="H36">
    <cfRule type="cellIs" dxfId="262" priority="13" operator="lessThan">
      <formula>$I$36</formula>
    </cfRule>
    <cfRule type="cellIs" dxfId="261" priority="12" operator="greaterThan">
      <formula>$I$36</formula>
    </cfRule>
  </conditionalFormatting>
  <conditionalFormatting sqref="J6:J35">
    <cfRule type="cellIs" dxfId="260" priority="43" operator="lessThan">
      <formula>1</formula>
    </cfRule>
  </conditionalFormatting>
  <conditionalFormatting sqref="J6:J36">
    <cfRule type="cellIs" dxfId="259" priority="19" operator="greaterThan">
      <formula>1</formula>
    </cfRule>
  </conditionalFormatting>
  <conditionalFormatting sqref="J36">
    <cfRule type="cellIs" dxfId="258" priority="18" operator="lessThan">
      <formula>0</formula>
    </cfRule>
  </conditionalFormatting>
  <conditionalFormatting sqref="M6:M36">
    <cfRule type="cellIs" dxfId="257" priority="16" operator="lessThan">
      <formula>1</formula>
    </cfRule>
    <cfRule type="cellIs" dxfId="256" priority="17" operator="greaterThan">
      <formula>1</formula>
    </cfRule>
  </conditionalFormatting>
  <conditionalFormatting sqref="O6:O35">
    <cfRule type="containsText" dxfId="255" priority="20" operator="containsText" text="X">
      <formula>NOT(ISERROR(SEARCH("X",O6)))</formula>
    </cfRule>
    <cfRule type="containsText" dxfId="254" priority="21" operator="containsText" text="W">
      <formula>NOT(ISERROR(SEARCH("W",O6)))</formula>
    </cfRule>
  </conditionalFormatting>
  <conditionalFormatting sqref="O9:O35">
    <cfRule type="containsText" dxfId="253" priority="55" operator="containsText" text="W">
      <formula>NOT(ISERROR(SEARCH("W",O9)))</formula>
    </cfRule>
    <cfRule type="containsText" dxfId="252" priority="54" operator="containsText" text="X">
      <formula>NOT(ISERROR(SEARCH("X",O9)))</formula>
    </cfRule>
  </conditionalFormatting>
  <conditionalFormatting sqref="P6:P35">
    <cfRule type="cellIs" dxfId="251" priority="51" operator="equal">
      <formula>1</formula>
    </cfRule>
    <cfRule type="cellIs" dxfId="250" priority="52" operator="lessThan">
      <formula>1</formula>
    </cfRule>
    <cfRule type="cellIs" dxfId="249" priority="53" operator="greaterThan">
      <formula>1</formula>
    </cfRule>
  </conditionalFormatting>
  <conditionalFormatting sqref="R6:R35">
    <cfRule type="containsText" dxfId="248" priority="26" operator="containsText" text="Y">
      <formula>NOT(ISERROR(SEARCH("Y",R6)))</formula>
    </cfRule>
    <cfRule type="containsText" dxfId="247" priority="36" operator="containsText" text="N">
      <formula>NOT(ISERROR(SEARCH("N",R6)))</formula>
    </cfRule>
    <cfRule type="containsText" dxfId="246" priority="37" operator="containsText" text="Y">
      <formula>NOT(ISERROR(SEARCH("Y",R6)))</formula>
    </cfRule>
  </conditionalFormatting>
  <conditionalFormatting sqref="S6:S35">
    <cfRule type="cellIs" dxfId="245" priority="47" operator="between">
      <formula>40</formula>
      <formula>49</formula>
    </cfRule>
    <cfRule type="cellIs" dxfId="244" priority="48" operator="lessThan">
      <formula>49</formula>
    </cfRule>
    <cfRule type="cellIs" dxfId="243" priority="50" operator="equal">
      <formula>40</formula>
    </cfRule>
    <cfRule type="cellIs" dxfId="242" priority="49" operator="greaterThan">
      <formula>49</formula>
    </cfRule>
  </conditionalFormatting>
  <conditionalFormatting sqref="T6:T35">
    <cfRule type="cellIs" dxfId="241" priority="39" operator="lessThan">
      <formula>71</formula>
    </cfRule>
    <cfRule type="cellIs" dxfId="240" priority="40" operator="greaterThan">
      <formula>72</formula>
    </cfRule>
  </conditionalFormatting>
  <conditionalFormatting sqref="T6:U35">
    <cfRule type="cellIs" dxfId="239" priority="3" operator="lessThan">
      <formula>75</formula>
    </cfRule>
    <cfRule type="cellIs" dxfId="238" priority="4" operator="greaterThan">
      <formula>76</formula>
    </cfRule>
    <cfRule type="cellIs" dxfId="237" priority="32" operator="lessThan">
      <formula>71</formula>
    </cfRule>
    <cfRule type="cellIs" dxfId="236" priority="33" operator="greaterThan">
      <formula>73</formula>
    </cfRule>
  </conditionalFormatting>
  <conditionalFormatting sqref="U6:U35">
    <cfRule type="cellIs" dxfId="235" priority="41" operator="lessThan">
      <formula>79</formula>
    </cfRule>
    <cfRule type="cellIs" dxfId="234" priority="42" operator="greaterThan">
      <formula>80</formula>
    </cfRule>
  </conditionalFormatting>
  <conditionalFormatting sqref="V6:W35">
    <cfRule type="cellIs" dxfId="233" priority="9" operator="greaterThan">
      <formula>8</formula>
    </cfRule>
    <cfRule type="cellIs" dxfId="232" priority="8" operator="equal">
      <formula>7</formula>
    </cfRule>
    <cfRule type="cellIs" dxfId="231" priority="7" operator="lessThan">
      <formula>7</formula>
    </cfRule>
  </conditionalFormatting>
  <conditionalFormatting sqref="X6:X35">
    <cfRule type="cellIs" dxfId="230" priority="30" operator="lessThan">
      <formula>39</formula>
    </cfRule>
    <cfRule type="cellIs" dxfId="229" priority="31" operator="greaterThan">
      <formula>41</formula>
    </cfRule>
    <cfRule type="cellIs" dxfId="228" priority="29" operator="equal">
      <formula>40</formula>
    </cfRule>
  </conditionalFormatting>
  <conditionalFormatting sqref="X6:X36">
    <cfRule type="cellIs" dxfId="227" priority="15" operator="greaterThan">
      <formula>25</formula>
    </cfRule>
    <cfRule type="cellIs" dxfId="226" priority="14" operator="lessThan">
      <formula>25</formula>
    </cfRule>
  </conditionalFormatting>
  <conditionalFormatting sqref="Z6:Z35">
    <cfRule type="cellIs" dxfId="225" priority="5" operator="greaterThan">
      <formula>876</formula>
    </cfRule>
    <cfRule type="cellIs" dxfId="224" priority="6" operator="lessThan">
      <formula>874</formula>
    </cfRule>
  </conditionalFormatting>
  <conditionalFormatting sqref="AE6:AE35">
    <cfRule type="cellIs" dxfId="223" priority="2" operator="greaterThan">
      <formula>0</formula>
    </cfRule>
    <cfRule type="cellIs" dxfId="222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95AC-280B-4F81-9CE0-590A4F0EC713}">
  <dimension ref="B1:AF38"/>
  <sheetViews>
    <sheetView topLeftCell="G1" zoomScale="55" zoomScaleNormal="55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39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221" priority="10" operator="lessThan">
      <formula>15499</formula>
    </cfRule>
    <cfRule type="cellIs" dxfId="220" priority="11" operator="greaterThan">
      <formula>15501</formula>
    </cfRule>
  </conditionalFormatting>
  <conditionalFormatting sqref="E6:E35 G6:G35">
    <cfRule type="containsText" dxfId="219" priority="24" operator="containsText" text="2">
      <formula>NOT(ISERROR(SEARCH("2",E6)))</formula>
    </cfRule>
    <cfRule type="containsText" dxfId="218" priority="25" operator="containsText" text="1">
      <formula>NOT(ISERROR(SEARCH("1",E6)))</formula>
    </cfRule>
    <cfRule type="containsText" dxfId="217" priority="22" operator="containsText" text="4">
      <formula>NOT(ISERROR(SEARCH("4",E6)))</formula>
    </cfRule>
    <cfRule type="containsText" dxfId="216" priority="23" operator="containsText" text="3">
      <formula>NOT(ISERROR(SEARCH("3",E6)))</formula>
    </cfRule>
  </conditionalFormatting>
  <conditionalFormatting sqref="F6:F35">
    <cfRule type="cellIs" dxfId="215" priority="34" operator="lessThan">
      <formula>12799</formula>
    </cfRule>
    <cfRule type="cellIs" dxfId="214" priority="38" operator="greaterThan">
      <formula>12801</formula>
    </cfRule>
    <cfRule type="cellIs" dxfId="213" priority="35" operator="greaterThan">
      <formula>12801</formula>
    </cfRule>
  </conditionalFormatting>
  <conditionalFormatting sqref="H6:H35">
    <cfRule type="cellIs" dxfId="212" priority="28" operator="greaterThan">
      <formula>25501</formula>
    </cfRule>
    <cfRule type="cellIs" dxfId="211" priority="27" operator="lessThan">
      <formula>25499</formula>
    </cfRule>
    <cfRule type="cellIs" dxfId="210" priority="46" operator="greaterThan">
      <formula>24999</formula>
    </cfRule>
    <cfRule type="cellIs" dxfId="209" priority="45" operator="lessThan">
      <formula>24999</formula>
    </cfRule>
    <cfRule type="cellIs" dxfId="208" priority="44" operator="equal">
      <formula>25000</formula>
    </cfRule>
  </conditionalFormatting>
  <conditionalFormatting sqref="H36">
    <cfRule type="cellIs" dxfId="207" priority="13" operator="lessThan">
      <formula>$I$36</formula>
    </cfRule>
    <cfRule type="cellIs" dxfId="206" priority="12" operator="greaterThan">
      <formula>$I$36</formula>
    </cfRule>
  </conditionalFormatting>
  <conditionalFormatting sqref="J6:J35">
    <cfRule type="cellIs" dxfId="205" priority="43" operator="lessThan">
      <formula>1</formula>
    </cfRule>
  </conditionalFormatting>
  <conditionalFormatting sqref="J6:J36">
    <cfRule type="cellIs" dxfId="204" priority="19" operator="greaterThan">
      <formula>1</formula>
    </cfRule>
  </conditionalFormatting>
  <conditionalFormatting sqref="J36">
    <cfRule type="cellIs" dxfId="203" priority="18" operator="lessThan">
      <formula>0</formula>
    </cfRule>
  </conditionalFormatting>
  <conditionalFormatting sqref="M6:M36">
    <cfRule type="cellIs" dxfId="202" priority="16" operator="lessThan">
      <formula>1</formula>
    </cfRule>
    <cfRule type="cellIs" dxfId="201" priority="17" operator="greaterThan">
      <formula>1</formula>
    </cfRule>
  </conditionalFormatting>
  <conditionalFormatting sqref="O6:O35">
    <cfRule type="containsText" dxfId="200" priority="20" operator="containsText" text="X">
      <formula>NOT(ISERROR(SEARCH("X",O6)))</formula>
    </cfRule>
    <cfRule type="containsText" dxfId="199" priority="21" operator="containsText" text="W">
      <formula>NOT(ISERROR(SEARCH("W",O6)))</formula>
    </cfRule>
  </conditionalFormatting>
  <conditionalFormatting sqref="O9:O35">
    <cfRule type="containsText" dxfId="198" priority="55" operator="containsText" text="W">
      <formula>NOT(ISERROR(SEARCH("W",O9)))</formula>
    </cfRule>
    <cfRule type="containsText" dxfId="197" priority="54" operator="containsText" text="X">
      <formula>NOT(ISERROR(SEARCH("X",O9)))</formula>
    </cfRule>
  </conditionalFormatting>
  <conditionalFormatting sqref="P6:P35">
    <cfRule type="cellIs" dxfId="196" priority="51" operator="equal">
      <formula>1</formula>
    </cfRule>
    <cfRule type="cellIs" dxfId="195" priority="52" operator="lessThan">
      <formula>1</formula>
    </cfRule>
    <cfRule type="cellIs" dxfId="194" priority="53" operator="greaterThan">
      <formula>1</formula>
    </cfRule>
  </conditionalFormatting>
  <conditionalFormatting sqref="R6:R35">
    <cfRule type="containsText" dxfId="193" priority="26" operator="containsText" text="Y">
      <formula>NOT(ISERROR(SEARCH("Y",R6)))</formula>
    </cfRule>
    <cfRule type="containsText" dxfId="192" priority="36" operator="containsText" text="N">
      <formula>NOT(ISERROR(SEARCH("N",R6)))</formula>
    </cfRule>
    <cfRule type="containsText" dxfId="191" priority="37" operator="containsText" text="Y">
      <formula>NOT(ISERROR(SEARCH("Y",R6)))</formula>
    </cfRule>
  </conditionalFormatting>
  <conditionalFormatting sqref="S6:S35">
    <cfRule type="cellIs" dxfId="190" priority="47" operator="between">
      <formula>40</formula>
      <formula>49</formula>
    </cfRule>
    <cfRule type="cellIs" dxfId="189" priority="48" operator="lessThan">
      <formula>49</formula>
    </cfRule>
    <cfRule type="cellIs" dxfId="188" priority="50" operator="equal">
      <formula>40</formula>
    </cfRule>
    <cfRule type="cellIs" dxfId="187" priority="49" operator="greaterThan">
      <formula>49</formula>
    </cfRule>
  </conditionalFormatting>
  <conditionalFormatting sqref="T6:T35">
    <cfRule type="cellIs" dxfId="186" priority="39" operator="lessThan">
      <formula>71</formula>
    </cfRule>
    <cfRule type="cellIs" dxfId="185" priority="40" operator="greaterThan">
      <formula>72</formula>
    </cfRule>
  </conditionalFormatting>
  <conditionalFormatting sqref="T6:U35">
    <cfRule type="cellIs" dxfId="184" priority="3" operator="lessThan">
      <formula>75</formula>
    </cfRule>
    <cfRule type="cellIs" dxfId="183" priority="4" operator="greaterThan">
      <formula>76</formula>
    </cfRule>
    <cfRule type="cellIs" dxfId="182" priority="32" operator="lessThan">
      <formula>71</formula>
    </cfRule>
    <cfRule type="cellIs" dxfId="181" priority="33" operator="greaterThan">
      <formula>73</formula>
    </cfRule>
  </conditionalFormatting>
  <conditionalFormatting sqref="U6:U35">
    <cfRule type="cellIs" dxfId="180" priority="41" operator="lessThan">
      <formula>79</formula>
    </cfRule>
    <cfRule type="cellIs" dxfId="179" priority="42" operator="greaterThan">
      <formula>80</formula>
    </cfRule>
  </conditionalFormatting>
  <conditionalFormatting sqref="V6:W35">
    <cfRule type="cellIs" dxfId="178" priority="9" operator="greaterThan">
      <formula>8</formula>
    </cfRule>
    <cfRule type="cellIs" dxfId="177" priority="8" operator="equal">
      <formula>7</formula>
    </cfRule>
    <cfRule type="cellIs" dxfId="176" priority="7" operator="lessThan">
      <formula>7</formula>
    </cfRule>
  </conditionalFormatting>
  <conditionalFormatting sqref="X6:X35">
    <cfRule type="cellIs" dxfId="175" priority="30" operator="lessThan">
      <formula>39</formula>
    </cfRule>
    <cfRule type="cellIs" dxfId="174" priority="31" operator="greaterThan">
      <formula>41</formula>
    </cfRule>
    <cfRule type="cellIs" dxfId="173" priority="29" operator="equal">
      <formula>40</formula>
    </cfRule>
  </conditionalFormatting>
  <conditionalFormatting sqref="X6:X36">
    <cfRule type="cellIs" dxfId="172" priority="15" operator="greaterThan">
      <formula>25</formula>
    </cfRule>
    <cfRule type="cellIs" dxfId="171" priority="14" operator="lessThan">
      <formula>25</formula>
    </cfRule>
  </conditionalFormatting>
  <conditionalFormatting sqref="Z6:Z35">
    <cfRule type="cellIs" dxfId="170" priority="5" operator="greaterThan">
      <formula>876</formula>
    </cfRule>
    <cfRule type="cellIs" dxfId="169" priority="6" operator="lessThan">
      <formula>874</formula>
    </cfRule>
  </conditionalFormatting>
  <conditionalFormatting sqref="AE6:AE35">
    <cfRule type="cellIs" dxfId="168" priority="2" operator="greaterThan">
      <formula>0</formula>
    </cfRule>
    <cfRule type="cellIs" dxfId="167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C254-EEA1-4ECE-B175-E906DF5F15B9}">
  <dimension ref="B1:AF38"/>
  <sheetViews>
    <sheetView topLeftCell="I1" zoomScale="55" zoomScaleNormal="55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40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166" priority="10" operator="lessThan">
      <formula>15499</formula>
    </cfRule>
    <cfRule type="cellIs" dxfId="165" priority="11" operator="greaterThan">
      <formula>15501</formula>
    </cfRule>
  </conditionalFormatting>
  <conditionalFormatting sqref="E6:E35 G6:G35">
    <cfRule type="containsText" dxfId="164" priority="24" operator="containsText" text="2">
      <formula>NOT(ISERROR(SEARCH("2",E6)))</formula>
    </cfRule>
    <cfRule type="containsText" dxfId="163" priority="25" operator="containsText" text="1">
      <formula>NOT(ISERROR(SEARCH("1",E6)))</formula>
    </cfRule>
    <cfRule type="containsText" dxfId="162" priority="22" operator="containsText" text="4">
      <formula>NOT(ISERROR(SEARCH("4",E6)))</formula>
    </cfRule>
    <cfRule type="containsText" dxfId="161" priority="23" operator="containsText" text="3">
      <formula>NOT(ISERROR(SEARCH("3",E6)))</formula>
    </cfRule>
  </conditionalFormatting>
  <conditionalFormatting sqref="F6:F35">
    <cfRule type="cellIs" dxfId="160" priority="34" operator="lessThan">
      <formula>12799</formula>
    </cfRule>
    <cfRule type="cellIs" dxfId="159" priority="38" operator="greaterThan">
      <formula>12801</formula>
    </cfRule>
    <cfRule type="cellIs" dxfId="158" priority="35" operator="greaterThan">
      <formula>12801</formula>
    </cfRule>
  </conditionalFormatting>
  <conditionalFormatting sqref="H6:H35">
    <cfRule type="cellIs" dxfId="157" priority="28" operator="greaterThan">
      <formula>25501</formula>
    </cfRule>
    <cfRule type="cellIs" dxfId="156" priority="27" operator="lessThan">
      <formula>25499</formula>
    </cfRule>
    <cfRule type="cellIs" dxfId="155" priority="46" operator="greaterThan">
      <formula>24999</formula>
    </cfRule>
    <cfRule type="cellIs" dxfId="154" priority="45" operator="lessThan">
      <formula>24999</formula>
    </cfRule>
    <cfRule type="cellIs" dxfId="153" priority="44" operator="equal">
      <formula>25000</formula>
    </cfRule>
  </conditionalFormatting>
  <conditionalFormatting sqref="H36">
    <cfRule type="cellIs" dxfId="152" priority="13" operator="lessThan">
      <formula>$I$36</formula>
    </cfRule>
    <cfRule type="cellIs" dxfId="151" priority="12" operator="greaterThan">
      <formula>$I$36</formula>
    </cfRule>
  </conditionalFormatting>
  <conditionalFormatting sqref="J6:J35">
    <cfRule type="cellIs" dxfId="150" priority="43" operator="lessThan">
      <formula>1</formula>
    </cfRule>
  </conditionalFormatting>
  <conditionalFormatting sqref="J6:J36">
    <cfRule type="cellIs" dxfId="149" priority="19" operator="greaterThan">
      <formula>1</formula>
    </cfRule>
  </conditionalFormatting>
  <conditionalFormatting sqref="J36">
    <cfRule type="cellIs" dxfId="148" priority="18" operator="lessThan">
      <formula>0</formula>
    </cfRule>
  </conditionalFormatting>
  <conditionalFormatting sqref="M6:M36">
    <cfRule type="cellIs" dxfId="147" priority="16" operator="lessThan">
      <formula>1</formula>
    </cfRule>
    <cfRule type="cellIs" dxfId="146" priority="17" operator="greaterThan">
      <formula>1</formula>
    </cfRule>
  </conditionalFormatting>
  <conditionalFormatting sqref="O6:O35">
    <cfRule type="containsText" dxfId="145" priority="20" operator="containsText" text="X">
      <formula>NOT(ISERROR(SEARCH("X",O6)))</formula>
    </cfRule>
    <cfRule type="containsText" dxfId="144" priority="21" operator="containsText" text="W">
      <formula>NOT(ISERROR(SEARCH("W",O6)))</formula>
    </cfRule>
  </conditionalFormatting>
  <conditionalFormatting sqref="O9:O35">
    <cfRule type="containsText" dxfId="143" priority="55" operator="containsText" text="W">
      <formula>NOT(ISERROR(SEARCH("W",O9)))</formula>
    </cfRule>
    <cfRule type="containsText" dxfId="142" priority="54" operator="containsText" text="X">
      <formula>NOT(ISERROR(SEARCH("X",O9)))</formula>
    </cfRule>
  </conditionalFormatting>
  <conditionalFormatting sqref="P6:P35">
    <cfRule type="cellIs" dxfId="141" priority="51" operator="equal">
      <formula>1</formula>
    </cfRule>
    <cfRule type="cellIs" dxfId="140" priority="52" operator="lessThan">
      <formula>1</formula>
    </cfRule>
    <cfRule type="cellIs" dxfId="139" priority="53" operator="greaterThan">
      <formula>1</formula>
    </cfRule>
  </conditionalFormatting>
  <conditionalFormatting sqref="R6:R35">
    <cfRule type="containsText" dxfId="138" priority="26" operator="containsText" text="Y">
      <formula>NOT(ISERROR(SEARCH("Y",R6)))</formula>
    </cfRule>
    <cfRule type="containsText" dxfId="137" priority="36" operator="containsText" text="N">
      <formula>NOT(ISERROR(SEARCH("N",R6)))</formula>
    </cfRule>
    <cfRule type="containsText" dxfId="136" priority="37" operator="containsText" text="Y">
      <formula>NOT(ISERROR(SEARCH("Y",R6)))</formula>
    </cfRule>
  </conditionalFormatting>
  <conditionalFormatting sqref="S6:S35">
    <cfRule type="cellIs" dxfId="135" priority="47" operator="between">
      <formula>40</formula>
      <formula>49</formula>
    </cfRule>
    <cfRule type="cellIs" dxfId="134" priority="48" operator="lessThan">
      <formula>49</formula>
    </cfRule>
    <cfRule type="cellIs" dxfId="133" priority="50" operator="equal">
      <formula>40</formula>
    </cfRule>
    <cfRule type="cellIs" dxfId="132" priority="49" operator="greaterThan">
      <formula>49</formula>
    </cfRule>
  </conditionalFormatting>
  <conditionalFormatting sqref="T6:T35">
    <cfRule type="cellIs" dxfId="131" priority="39" operator="lessThan">
      <formula>71</formula>
    </cfRule>
    <cfRule type="cellIs" dxfId="130" priority="40" operator="greaterThan">
      <formula>72</formula>
    </cfRule>
  </conditionalFormatting>
  <conditionalFormatting sqref="T6:U35">
    <cfRule type="cellIs" dxfId="129" priority="3" operator="lessThan">
      <formula>75</formula>
    </cfRule>
    <cfRule type="cellIs" dxfId="128" priority="4" operator="greaterThan">
      <formula>76</formula>
    </cfRule>
    <cfRule type="cellIs" dxfId="127" priority="32" operator="lessThan">
      <formula>71</formula>
    </cfRule>
    <cfRule type="cellIs" dxfId="126" priority="33" operator="greaterThan">
      <formula>73</formula>
    </cfRule>
  </conditionalFormatting>
  <conditionalFormatting sqref="U6:U35">
    <cfRule type="cellIs" dxfId="125" priority="41" operator="lessThan">
      <formula>79</formula>
    </cfRule>
    <cfRule type="cellIs" dxfId="124" priority="42" operator="greaterThan">
      <formula>80</formula>
    </cfRule>
  </conditionalFormatting>
  <conditionalFormatting sqref="V6:W35">
    <cfRule type="cellIs" dxfId="123" priority="9" operator="greaterThan">
      <formula>8</formula>
    </cfRule>
    <cfRule type="cellIs" dxfId="122" priority="8" operator="equal">
      <formula>7</formula>
    </cfRule>
    <cfRule type="cellIs" dxfId="121" priority="7" operator="lessThan">
      <formula>7</formula>
    </cfRule>
  </conditionalFormatting>
  <conditionalFormatting sqref="X6:X35">
    <cfRule type="cellIs" dxfId="120" priority="30" operator="lessThan">
      <formula>39</formula>
    </cfRule>
    <cfRule type="cellIs" dxfId="119" priority="31" operator="greaterThan">
      <formula>41</formula>
    </cfRule>
    <cfRule type="cellIs" dxfId="118" priority="29" operator="equal">
      <formula>40</formula>
    </cfRule>
  </conditionalFormatting>
  <conditionalFormatting sqref="X6:X36">
    <cfRule type="cellIs" dxfId="117" priority="15" operator="greaterThan">
      <formula>25</formula>
    </cfRule>
    <cfRule type="cellIs" dxfId="116" priority="14" operator="lessThan">
      <formula>25</formula>
    </cfRule>
  </conditionalFormatting>
  <conditionalFormatting sqref="Z6:Z35">
    <cfRule type="cellIs" dxfId="115" priority="5" operator="greaterThan">
      <formula>876</formula>
    </cfRule>
    <cfRule type="cellIs" dxfId="114" priority="6" operator="lessThan">
      <formula>874</formula>
    </cfRule>
  </conditionalFormatting>
  <conditionalFormatting sqref="AE6:AE35">
    <cfRule type="cellIs" dxfId="113" priority="2" operator="greaterThan">
      <formula>0</formula>
    </cfRule>
    <cfRule type="cellIs" dxfId="112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0FC3-0E30-47D3-8A7E-153FB5B0931B}">
  <dimension ref="B1:AF38"/>
  <sheetViews>
    <sheetView topLeftCell="K1" zoomScale="55" zoomScaleNormal="55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41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111" priority="10" operator="lessThan">
      <formula>15499</formula>
    </cfRule>
    <cfRule type="cellIs" dxfId="110" priority="11" operator="greaterThan">
      <formula>15501</formula>
    </cfRule>
  </conditionalFormatting>
  <conditionalFormatting sqref="E6:E35 G6:G35">
    <cfRule type="containsText" dxfId="109" priority="24" operator="containsText" text="2">
      <formula>NOT(ISERROR(SEARCH("2",E6)))</formula>
    </cfRule>
    <cfRule type="containsText" dxfId="108" priority="25" operator="containsText" text="1">
      <formula>NOT(ISERROR(SEARCH("1",E6)))</formula>
    </cfRule>
    <cfRule type="containsText" dxfId="107" priority="22" operator="containsText" text="4">
      <formula>NOT(ISERROR(SEARCH("4",E6)))</formula>
    </cfRule>
    <cfRule type="containsText" dxfId="106" priority="23" operator="containsText" text="3">
      <formula>NOT(ISERROR(SEARCH("3",E6)))</formula>
    </cfRule>
  </conditionalFormatting>
  <conditionalFormatting sqref="F6:F35">
    <cfRule type="cellIs" dxfId="105" priority="34" operator="lessThan">
      <formula>12799</formula>
    </cfRule>
    <cfRule type="cellIs" dxfId="104" priority="38" operator="greaterThan">
      <formula>12801</formula>
    </cfRule>
    <cfRule type="cellIs" dxfId="103" priority="35" operator="greaterThan">
      <formula>12801</formula>
    </cfRule>
  </conditionalFormatting>
  <conditionalFormatting sqref="H6:H35">
    <cfRule type="cellIs" dxfId="102" priority="28" operator="greaterThan">
      <formula>25501</formula>
    </cfRule>
    <cfRule type="cellIs" dxfId="101" priority="27" operator="lessThan">
      <formula>25499</formula>
    </cfRule>
    <cfRule type="cellIs" dxfId="100" priority="46" operator="greaterThan">
      <formula>24999</formula>
    </cfRule>
    <cfRule type="cellIs" dxfId="99" priority="45" operator="lessThan">
      <formula>24999</formula>
    </cfRule>
    <cfRule type="cellIs" dxfId="98" priority="44" operator="equal">
      <formula>25000</formula>
    </cfRule>
  </conditionalFormatting>
  <conditionalFormatting sqref="H36">
    <cfRule type="cellIs" dxfId="97" priority="13" operator="lessThan">
      <formula>$I$36</formula>
    </cfRule>
    <cfRule type="cellIs" dxfId="96" priority="12" operator="greaterThan">
      <formula>$I$36</formula>
    </cfRule>
  </conditionalFormatting>
  <conditionalFormatting sqref="J6:J35">
    <cfRule type="cellIs" dxfId="95" priority="43" operator="lessThan">
      <formula>1</formula>
    </cfRule>
  </conditionalFormatting>
  <conditionalFormatting sqref="J6:J36">
    <cfRule type="cellIs" dxfId="94" priority="19" operator="greaterThan">
      <formula>1</formula>
    </cfRule>
  </conditionalFormatting>
  <conditionalFormatting sqref="J36">
    <cfRule type="cellIs" dxfId="93" priority="18" operator="lessThan">
      <formula>0</formula>
    </cfRule>
  </conditionalFormatting>
  <conditionalFormatting sqref="M6:M36">
    <cfRule type="cellIs" dxfId="92" priority="16" operator="lessThan">
      <formula>1</formula>
    </cfRule>
    <cfRule type="cellIs" dxfId="91" priority="17" operator="greaterThan">
      <formula>1</formula>
    </cfRule>
  </conditionalFormatting>
  <conditionalFormatting sqref="O6:O35">
    <cfRule type="containsText" dxfId="90" priority="20" operator="containsText" text="X">
      <formula>NOT(ISERROR(SEARCH("X",O6)))</formula>
    </cfRule>
    <cfRule type="containsText" dxfId="89" priority="21" operator="containsText" text="W">
      <formula>NOT(ISERROR(SEARCH("W",O6)))</formula>
    </cfRule>
  </conditionalFormatting>
  <conditionalFormatting sqref="O9:O35">
    <cfRule type="containsText" dxfId="88" priority="55" operator="containsText" text="W">
      <formula>NOT(ISERROR(SEARCH("W",O9)))</formula>
    </cfRule>
    <cfRule type="containsText" dxfId="87" priority="54" operator="containsText" text="X">
      <formula>NOT(ISERROR(SEARCH("X",O9)))</formula>
    </cfRule>
  </conditionalFormatting>
  <conditionalFormatting sqref="P6:P35">
    <cfRule type="cellIs" dxfId="86" priority="51" operator="equal">
      <formula>1</formula>
    </cfRule>
    <cfRule type="cellIs" dxfId="85" priority="52" operator="lessThan">
      <formula>1</formula>
    </cfRule>
    <cfRule type="cellIs" dxfId="84" priority="53" operator="greaterThan">
      <formula>1</formula>
    </cfRule>
  </conditionalFormatting>
  <conditionalFormatting sqref="R6:R35">
    <cfRule type="containsText" dxfId="83" priority="26" operator="containsText" text="Y">
      <formula>NOT(ISERROR(SEARCH("Y",R6)))</formula>
    </cfRule>
    <cfRule type="containsText" dxfId="82" priority="36" operator="containsText" text="N">
      <formula>NOT(ISERROR(SEARCH("N",R6)))</formula>
    </cfRule>
    <cfRule type="containsText" dxfId="81" priority="37" operator="containsText" text="Y">
      <formula>NOT(ISERROR(SEARCH("Y",R6)))</formula>
    </cfRule>
  </conditionalFormatting>
  <conditionalFormatting sqref="S6:S35">
    <cfRule type="cellIs" dxfId="80" priority="47" operator="between">
      <formula>40</formula>
      <formula>49</formula>
    </cfRule>
    <cfRule type="cellIs" dxfId="79" priority="48" operator="lessThan">
      <formula>49</formula>
    </cfRule>
    <cfRule type="cellIs" dxfId="78" priority="50" operator="equal">
      <formula>40</formula>
    </cfRule>
    <cfRule type="cellIs" dxfId="77" priority="49" operator="greaterThan">
      <formula>49</formula>
    </cfRule>
  </conditionalFormatting>
  <conditionalFormatting sqref="T6:T35">
    <cfRule type="cellIs" dxfId="76" priority="39" operator="lessThan">
      <formula>71</formula>
    </cfRule>
    <cfRule type="cellIs" dxfId="75" priority="40" operator="greaterThan">
      <formula>72</formula>
    </cfRule>
  </conditionalFormatting>
  <conditionalFormatting sqref="T6:U35">
    <cfRule type="cellIs" dxfId="74" priority="3" operator="lessThan">
      <formula>75</formula>
    </cfRule>
    <cfRule type="cellIs" dxfId="73" priority="4" operator="greaterThan">
      <formula>76</formula>
    </cfRule>
    <cfRule type="cellIs" dxfId="72" priority="32" operator="lessThan">
      <formula>71</formula>
    </cfRule>
    <cfRule type="cellIs" dxfId="71" priority="33" operator="greaterThan">
      <formula>73</formula>
    </cfRule>
  </conditionalFormatting>
  <conditionalFormatting sqref="U6:U35">
    <cfRule type="cellIs" dxfId="70" priority="41" operator="lessThan">
      <formula>79</formula>
    </cfRule>
    <cfRule type="cellIs" dxfId="69" priority="42" operator="greaterThan">
      <formula>80</formula>
    </cfRule>
  </conditionalFormatting>
  <conditionalFormatting sqref="V6:W35">
    <cfRule type="cellIs" dxfId="68" priority="9" operator="greaterThan">
      <formula>8</formula>
    </cfRule>
    <cfRule type="cellIs" dxfId="67" priority="8" operator="equal">
      <formula>7</formula>
    </cfRule>
    <cfRule type="cellIs" dxfId="66" priority="7" operator="lessThan">
      <formula>7</formula>
    </cfRule>
  </conditionalFormatting>
  <conditionalFormatting sqref="X6:X35">
    <cfRule type="cellIs" dxfId="65" priority="30" operator="lessThan">
      <formula>39</formula>
    </cfRule>
    <cfRule type="cellIs" dxfId="64" priority="31" operator="greaterThan">
      <formula>41</formula>
    </cfRule>
    <cfRule type="cellIs" dxfId="63" priority="29" operator="equal">
      <formula>40</formula>
    </cfRule>
  </conditionalFormatting>
  <conditionalFormatting sqref="X6:X36">
    <cfRule type="cellIs" dxfId="62" priority="15" operator="greaterThan">
      <formula>25</formula>
    </cfRule>
    <cfRule type="cellIs" dxfId="61" priority="14" operator="lessThan">
      <formula>25</formula>
    </cfRule>
  </conditionalFormatting>
  <conditionalFormatting sqref="Z6:Z35">
    <cfRule type="cellIs" dxfId="60" priority="5" operator="greaterThan">
      <formula>876</formula>
    </cfRule>
    <cfRule type="cellIs" dxfId="59" priority="6" operator="lessThan">
      <formula>874</formula>
    </cfRule>
  </conditionalFormatting>
  <conditionalFormatting sqref="AE6:AE35">
    <cfRule type="cellIs" dxfId="58" priority="2" operator="greaterThan">
      <formula>0</formula>
    </cfRule>
    <cfRule type="cellIs" dxfId="57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8E15-AE75-4F0C-A74C-6462C9C83565}">
  <dimension ref="B1:AF38"/>
  <sheetViews>
    <sheetView topLeftCell="J1" zoomScale="55" zoomScaleNormal="55" workbookViewId="0">
      <selection activeCell="AA1" sqref="AA1:AA1048576"/>
    </sheetView>
  </sheetViews>
  <sheetFormatPr defaultColWidth="18.125" defaultRowHeight="49.5" customHeight="1" x14ac:dyDescent="0.25"/>
  <cols>
    <col min="2" max="2" width="12" customWidth="1"/>
    <col min="3" max="3" width="19.625" customWidth="1"/>
    <col min="4" max="4" width="16.375" customWidth="1"/>
    <col min="5" max="5" width="18.25" customWidth="1"/>
    <col min="6" max="6" width="19.25" customWidth="1"/>
    <col min="7" max="7" width="18.25" customWidth="1"/>
    <col min="8" max="8" width="25.375" customWidth="1"/>
    <col min="9" max="9" width="22.5" customWidth="1"/>
    <col min="10" max="10" width="28.125" customWidth="1"/>
    <col min="11" max="12" width="22.125" customWidth="1"/>
    <col min="13" max="13" width="25.875" customWidth="1"/>
    <col min="14" max="14" width="23.125" customWidth="1"/>
    <col min="15" max="15" width="20.75" customWidth="1"/>
    <col min="16" max="16" width="15.625" customWidth="1"/>
    <col min="17" max="17" width="18.875" customWidth="1"/>
    <col min="18" max="18" width="15.375" customWidth="1"/>
    <col min="19" max="19" width="19.125" customWidth="1"/>
    <col min="20" max="20" width="16.375" bestFit="1" customWidth="1"/>
    <col min="21" max="21" width="20.25" customWidth="1"/>
    <col min="22" max="22" width="16.625" customWidth="1"/>
    <col min="23" max="24" width="16.375" bestFit="1" customWidth="1"/>
    <col min="25" max="25" width="19.625" customWidth="1"/>
    <col min="26" max="31" width="15.625" customWidth="1"/>
    <col min="32" max="32" width="11.875" customWidth="1"/>
  </cols>
  <sheetData>
    <row r="1" spans="2:32" ht="98.25" customHeight="1" x14ac:dyDescent="0.25"/>
    <row r="2" spans="2:32" ht="54" customHeight="1" x14ac:dyDescent="0.25"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</row>
    <row r="3" spans="2:32" ht="93.75" x14ac:dyDescent="0.25">
      <c r="B3" s="80"/>
      <c r="C3" s="81" t="s">
        <v>42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2"/>
    </row>
    <row r="4" spans="2:32" ht="26.25" x14ac:dyDescent="0.25">
      <c r="B4" s="80"/>
      <c r="C4" s="1"/>
      <c r="D4" s="83" t="s">
        <v>0</v>
      </c>
      <c r="E4" s="83"/>
      <c r="F4" s="84" t="s">
        <v>1</v>
      </c>
      <c r="G4" s="84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2"/>
      <c r="AB4" s="2"/>
      <c r="AC4" s="2"/>
      <c r="AD4" s="2"/>
      <c r="AE4" s="2"/>
      <c r="AF4" s="82"/>
    </row>
    <row r="5" spans="2:32" ht="94.5" x14ac:dyDescent="0.25">
      <c r="B5" s="80"/>
      <c r="C5" s="3" t="s">
        <v>2</v>
      </c>
      <c r="D5" s="4" t="s">
        <v>3</v>
      </c>
      <c r="E5" s="4" t="s">
        <v>4</v>
      </c>
      <c r="F5" s="4" t="s">
        <v>3</v>
      </c>
      <c r="G5" s="4" t="s">
        <v>5</v>
      </c>
      <c r="H5" s="4" t="s">
        <v>6</v>
      </c>
      <c r="I5" s="4" t="s">
        <v>7</v>
      </c>
      <c r="J5" s="4" t="s">
        <v>8</v>
      </c>
      <c r="K5" s="3" t="s">
        <v>9</v>
      </c>
      <c r="L5" s="3" t="s">
        <v>10</v>
      </c>
      <c r="M5" s="4" t="s">
        <v>11</v>
      </c>
      <c r="N5" s="3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22</v>
      </c>
      <c r="Y5" s="4" t="s">
        <v>23</v>
      </c>
      <c r="Z5" s="4" t="s">
        <v>24</v>
      </c>
      <c r="AA5" s="5" t="s">
        <v>25</v>
      </c>
      <c r="AB5" s="6" t="s">
        <v>26</v>
      </c>
      <c r="AC5" s="4" t="s">
        <v>27</v>
      </c>
      <c r="AD5" s="4" t="s">
        <v>28</v>
      </c>
      <c r="AE5" s="4" t="s">
        <v>29</v>
      </c>
      <c r="AF5" s="82"/>
    </row>
    <row r="6" spans="2:32" ht="31.5" x14ac:dyDescent="0.25">
      <c r="B6" s="80"/>
      <c r="C6" s="7"/>
      <c r="D6" s="8"/>
      <c r="E6" s="9"/>
      <c r="F6" s="9"/>
      <c r="G6" s="9"/>
      <c r="H6" s="9">
        <f t="shared" ref="H6:H35" si="0">SUM(D6+F6)</f>
        <v>0</v>
      </c>
      <c r="I6" s="9"/>
      <c r="J6" s="9">
        <f t="shared" ref="J6:J35" si="1">I6-H6</f>
        <v>0</v>
      </c>
      <c r="K6" s="9"/>
      <c r="L6" s="9"/>
      <c r="M6" s="9">
        <f>H6-(K6+L6)</f>
        <v>0</v>
      </c>
      <c r="N6" s="9"/>
      <c r="O6" s="9"/>
      <c r="P6" s="3"/>
      <c r="Q6" s="3"/>
      <c r="R6" s="3"/>
      <c r="S6" s="3"/>
      <c r="T6" s="3"/>
      <c r="U6" s="3"/>
      <c r="V6" s="10"/>
      <c r="W6" s="10"/>
      <c r="X6" s="11">
        <f t="shared" ref="X6:X35" si="2">Z6/35</f>
        <v>0</v>
      </c>
      <c r="Y6" s="11">
        <f>Z6/36</f>
        <v>0</v>
      </c>
      <c r="Z6" s="9"/>
      <c r="AA6" s="9"/>
      <c r="AB6" s="9"/>
      <c r="AC6" s="9"/>
      <c r="AD6" s="9">
        <f t="shared" ref="AD6:AD34" si="3">SUM(AA6+AB6)</f>
        <v>0</v>
      </c>
      <c r="AE6" s="9">
        <f t="shared" ref="AE6:AE35" si="4">AD6-AC6</f>
        <v>0</v>
      </c>
      <c r="AF6" s="82"/>
    </row>
    <row r="7" spans="2:32" ht="31.5" x14ac:dyDescent="0.25">
      <c r="B7" s="80"/>
      <c r="C7" s="7"/>
      <c r="D7" s="9"/>
      <c r="E7" s="9"/>
      <c r="F7" s="9"/>
      <c r="G7" s="9"/>
      <c r="H7" s="9">
        <f t="shared" si="0"/>
        <v>0</v>
      </c>
      <c r="I7" s="9"/>
      <c r="J7" s="9">
        <f t="shared" si="1"/>
        <v>0</v>
      </c>
      <c r="K7" s="9"/>
      <c r="L7" s="9"/>
      <c r="M7" s="9">
        <f t="shared" ref="M7:M35" si="5">H7-(K7+L7)</f>
        <v>0</v>
      </c>
      <c r="N7" s="9"/>
      <c r="O7" s="9"/>
      <c r="P7" s="3"/>
      <c r="Q7" s="3"/>
      <c r="R7" s="3"/>
      <c r="S7" s="3"/>
      <c r="T7" s="3"/>
      <c r="U7" s="3"/>
      <c r="V7" s="3"/>
      <c r="W7" s="10"/>
      <c r="X7" s="11">
        <f t="shared" si="2"/>
        <v>0</v>
      </c>
      <c r="Y7" s="11">
        <f t="shared" ref="Y7:Y35" si="6">Z7/36</f>
        <v>0</v>
      </c>
      <c r="Z7" s="9"/>
      <c r="AA7" s="9"/>
      <c r="AB7" s="9"/>
      <c r="AC7" s="9"/>
      <c r="AD7" s="9">
        <f t="shared" si="3"/>
        <v>0</v>
      </c>
      <c r="AE7" s="9">
        <f t="shared" si="4"/>
        <v>0</v>
      </c>
      <c r="AF7" s="82"/>
    </row>
    <row r="8" spans="2:32" ht="31.5" x14ac:dyDescent="0.25">
      <c r="B8" s="80"/>
      <c r="C8" s="7"/>
      <c r="D8" s="9"/>
      <c r="E8" s="9"/>
      <c r="F8" s="9"/>
      <c r="G8" s="9"/>
      <c r="H8" s="9">
        <f>SUM(D8+F8)</f>
        <v>0</v>
      </c>
      <c r="I8" s="9"/>
      <c r="J8" s="9">
        <f>I8-H8</f>
        <v>0</v>
      </c>
      <c r="K8" s="9"/>
      <c r="L8" s="9"/>
      <c r="M8" s="9">
        <f>H8-(K8+L8)</f>
        <v>0</v>
      </c>
      <c r="N8" s="9"/>
      <c r="O8" s="12"/>
      <c r="P8" s="3"/>
      <c r="Q8" s="3"/>
      <c r="R8" s="3"/>
      <c r="S8" s="3"/>
      <c r="T8" s="3"/>
      <c r="U8" s="3"/>
      <c r="V8" s="10"/>
      <c r="W8" s="10"/>
      <c r="X8" s="11">
        <f t="shared" si="2"/>
        <v>0</v>
      </c>
      <c r="Y8" s="11">
        <f t="shared" si="6"/>
        <v>0</v>
      </c>
      <c r="Z8" s="9"/>
      <c r="AA8" s="9"/>
      <c r="AB8" s="9"/>
      <c r="AC8" s="9"/>
      <c r="AD8" s="9">
        <f t="shared" si="3"/>
        <v>0</v>
      </c>
      <c r="AE8" s="9">
        <f t="shared" si="4"/>
        <v>0</v>
      </c>
      <c r="AF8" s="82"/>
    </row>
    <row r="9" spans="2:32" ht="31.5" x14ac:dyDescent="0.25">
      <c r="B9" s="80"/>
      <c r="C9" s="7"/>
      <c r="D9" s="9"/>
      <c r="E9" s="9"/>
      <c r="F9" s="9"/>
      <c r="G9" s="9"/>
      <c r="H9" s="9">
        <f>SUM(D9+F9)</f>
        <v>0</v>
      </c>
      <c r="I9" s="9"/>
      <c r="J9" s="9">
        <f t="shared" si="1"/>
        <v>0</v>
      </c>
      <c r="K9" s="9"/>
      <c r="L9" s="9"/>
      <c r="M9" s="9">
        <f t="shared" si="5"/>
        <v>0</v>
      </c>
      <c r="N9" s="9"/>
      <c r="O9" s="12"/>
      <c r="P9" s="3"/>
      <c r="Q9" s="3"/>
      <c r="R9" s="3"/>
      <c r="S9" s="3"/>
      <c r="T9" s="3"/>
      <c r="U9" s="3"/>
      <c r="V9" s="3"/>
      <c r="W9" s="10"/>
      <c r="X9" s="11">
        <f t="shared" si="2"/>
        <v>0</v>
      </c>
      <c r="Y9" s="11">
        <f t="shared" si="6"/>
        <v>0</v>
      </c>
      <c r="Z9" s="9"/>
      <c r="AA9" s="9"/>
      <c r="AB9" s="9"/>
      <c r="AC9" s="9"/>
      <c r="AD9" s="9">
        <f t="shared" si="3"/>
        <v>0</v>
      </c>
      <c r="AE9" s="9">
        <f t="shared" si="4"/>
        <v>0</v>
      </c>
      <c r="AF9" s="82"/>
    </row>
    <row r="10" spans="2:32" ht="31.5" x14ac:dyDescent="0.25">
      <c r="B10" s="80"/>
      <c r="C10" s="7"/>
      <c r="D10" s="9"/>
      <c r="E10" s="9"/>
      <c r="F10" s="9"/>
      <c r="G10" s="9"/>
      <c r="H10" s="9">
        <f t="shared" si="0"/>
        <v>0</v>
      </c>
      <c r="I10" s="9"/>
      <c r="J10" s="9">
        <f t="shared" si="1"/>
        <v>0</v>
      </c>
      <c r="K10" s="9"/>
      <c r="L10" s="9"/>
      <c r="M10" s="9">
        <f t="shared" si="5"/>
        <v>0</v>
      </c>
      <c r="N10" s="9"/>
      <c r="O10" s="9"/>
      <c r="P10" s="3"/>
      <c r="Q10" s="3"/>
      <c r="R10" s="3"/>
      <c r="S10" s="3"/>
      <c r="T10" s="3"/>
      <c r="U10" s="3"/>
      <c r="V10" s="10"/>
      <c r="W10" s="10"/>
      <c r="X10" s="11">
        <f t="shared" si="2"/>
        <v>0</v>
      </c>
      <c r="Y10" s="11">
        <f t="shared" si="6"/>
        <v>0</v>
      </c>
      <c r="Z10" s="9"/>
      <c r="AA10" s="9"/>
      <c r="AB10" s="9"/>
      <c r="AC10" s="9"/>
      <c r="AD10" s="9">
        <f t="shared" si="3"/>
        <v>0</v>
      </c>
      <c r="AE10" s="9">
        <f t="shared" si="4"/>
        <v>0</v>
      </c>
      <c r="AF10" s="82"/>
    </row>
    <row r="11" spans="2:32" ht="31.5" x14ac:dyDescent="0.25">
      <c r="B11" s="80"/>
      <c r="C11" s="7"/>
      <c r="D11" s="9"/>
      <c r="E11" s="9"/>
      <c r="F11" s="9"/>
      <c r="G11" s="9"/>
      <c r="H11" s="9">
        <f t="shared" si="0"/>
        <v>0</v>
      </c>
      <c r="I11" s="9"/>
      <c r="J11" s="9">
        <f t="shared" si="1"/>
        <v>0</v>
      </c>
      <c r="K11" s="9"/>
      <c r="L11" s="9"/>
      <c r="M11" s="9">
        <f t="shared" si="5"/>
        <v>0</v>
      </c>
      <c r="N11" s="9"/>
      <c r="O11" s="9"/>
      <c r="P11" s="3"/>
      <c r="Q11" s="3"/>
      <c r="R11" s="3"/>
      <c r="S11" s="3"/>
      <c r="T11" s="3"/>
      <c r="U11" s="3"/>
      <c r="V11" s="13"/>
      <c r="W11" s="10"/>
      <c r="X11" s="11">
        <f t="shared" si="2"/>
        <v>0</v>
      </c>
      <c r="Y11" s="11">
        <f t="shared" si="6"/>
        <v>0</v>
      </c>
      <c r="Z11" s="9"/>
      <c r="AA11" s="9"/>
      <c r="AB11" s="9"/>
      <c r="AC11" s="9"/>
      <c r="AD11" s="9">
        <f t="shared" si="3"/>
        <v>0</v>
      </c>
      <c r="AE11" s="9">
        <f t="shared" si="4"/>
        <v>0</v>
      </c>
      <c r="AF11" s="82"/>
    </row>
    <row r="12" spans="2:32" ht="31.5" x14ac:dyDescent="0.25">
      <c r="B12" s="80"/>
      <c r="C12" s="7"/>
      <c r="D12" s="9"/>
      <c r="E12" s="9"/>
      <c r="F12" s="9"/>
      <c r="G12" s="9"/>
      <c r="H12" s="9">
        <f t="shared" si="0"/>
        <v>0</v>
      </c>
      <c r="I12" s="9"/>
      <c r="J12" s="9">
        <f t="shared" si="1"/>
        <v>0</v>
      </c>
      <c r="K12" s="9"/>
      <c r="L12" s="9"/>
      <c r="M12" s="9">
        <f t="shared" si="5"/>
        <v>0</v>
      </c>
      <c r="N12" s="9"/>
      <c r="O12" s="9"/>
      <c r="P12" s="3"/>
      <c r="Q12" s="3"/>
      <c r="R12" s="3"/>
      <c r="S12" s="3"/>
      <c r="T12" s="3"/>
      <c r="U12" s="3"/>
      <c r="V12" s="13"/>
      <c r="W12" s="10"/>
      <c r="X12" s="11">
        <f t="shared" si="2"/>
        <v>0</v>
      </c>
      <c r="Y12" s="11">
        <f t="shared" si="6"/>
        <v>0</v>
      </c>
      <c r="Z12" s="9"/>
      <c r="AA12" s="9"/>
      <c r="AB12" s="9"/>
      <c r="AC12" s="9"/>
      <c r="AD12" s="9">
        <f t="shared" si="3"/>
        <v>0</v>
      </c>
      <c r="AE12" s="9">
        <f t="shared" si="4"/>
        <v>0</v>
      </c>
      <c r="AF12" s="82"/>
    </row>
    <row r="13" spans="2:32" ht="31.5" x14ac:dyDescent="0.25">
      <c r="B13" s="80"/>
      <c r="C13" s="7"/>
      <c r="D13" s="9"/>
      <c r="E13" s="9"/>
      <c r="F13" s="9"/>
      <c r="G13" s="9"/>
      <c r="H13" s="9">
        <f t="shared" si="0"/>
        <v>0</v>
      </c>
      <c r="I13" s="9"/>
      <c r="J13" s="9">
        <f t="shared" si="1"/>
        <v>0</v>
      </c>
      <c r="K13" s="9"/>
      <c r="L13" s="9"/>
      <c r="M13" s="9">
        <f t="shared" si="5"/>
        <v>0</v>
      </c>
      <c r="N13" s="9"/>
      <c r="O13" s="9"/>
      <c r="P13" s="3"/>
      <c r="Q13" s="3"/>
      <c r="R13" s="3"/>
      <c r="S13" s="3"/>
      <c r="T13" s="3"/>
      <c r="U13" s="3"/>
      <c r="V13" s="10"/>
      <c r="W13" s="10"/>
      <c r="X13" s="11">
        <f t="shared" si="2"/>
        <v>0</v>
      </c>
      <c r="Y13" s="11">
        <f t="shared" si="6"/>
        <v>0</v>
      </c>
      <c r="Z13" s="9"/>
      <c r="AA13" s="9"/>
      <c r="AB13" s="9"/>
      <c r="AC13" s="9"/>
      <c r="AD13" s="9">
        <f t="shared" si="3"/>
        <v>0</v>
      </c>
      <c r="AE13" s="9">
        <f t="shared" si="4"/>
        <v>0</v>
      </c>
      <c r="AF13" s="82"/>
    </row>
    <row r="14" spans="2:32" ht="31.5" x14ac:dyDescent="0.5">
      <c r="B14" s="80"/>
      <c r="C14" s="7"/>
      <c r="D14" s="9"/>
      <c r="E14" s="9"/>
      <c r="F14" s="9"/>
      <c r="G14" s="9"/>
      <c r="H14" s="9">
        <f t="shared" si="0"/>
        <v>0</v>
      </c>
      <c r="I14" s="14"/>
      <c r="J14" s="9">
        <f t="shared" si="1"/>
        <v>0</v>
      </c>
      <c r="K14" s="9"/>
      <c r="L14" s="9"/>
      <c r="M14" s="9">
        <f t="shared" si="5"/>
        <v>0</v>
      </c>
      <c r="N14" s="9"/>
      <c r="O14" s="9"/>
      <c r="P14" s="3"/>
      <c r="Q14" s="3"/>
      <c r="R14" s="3"/>
      <c r="S14" s="3"/>
      <c r="T14" s="3"/>
      <c r="U14" s="3"/>
      <c r="V14" s="10"/>
      <c r="W14" s="10"/>
      <c r="X14" s="11">
        <f t="shared" si="2"/>
        <v>0</v>
      </c>
      <c r="Y14" s="11">
        <f t="shared" si="6"/>
        <v>0</v>
      </c>
      <c r="Z14" s="9"/>
      <c r="AA14" s="9"/>
      <c r="AB14" s="9"/>
      <c r="AC14" s="9"/>
      <c r="AD14" s="9">
        <f t="shared" si="3"/>
        <v>0</v>
      </c>
      <c r="AE14" s="9">
        <f t="shared" si="4"/>
        <v>0</v>
      </c>
      <c r="AF14" s="82"/>
    </row>
    <row r="15" spans="2:32" ht="31.5" x14ac:dyDescent="0.5">
      <c r="B15" s="80"/>
      <c r="C15" s="7"/>
      <c r="D15" s="9"/>
      <c r="E15" s="9"/>
      <c r="F15" s="9"/>
      <c r="G15" s="9"/>
      <c r="H15" s="9">
        <f t="shared" si="0"/>
        <v>0</v>
      </c>
      <c r="I15" s="14"/>
      <c r="J15" s="9">
        <f t="shared" si="1"/>
        <v>0</v>
      </c>
      <c r="K15" s="9"/>
      <c r="L15" s="9"/>
      <c r="M15" s="9">
        <f t="shared" si="5"/>
        <v>0</v>
      </c>
      <c r="N15" s="9"/>
      <c r="O15" s="9"/>
      <c r="P15" s="3"/>
      <c r="Q15" s="3"/>
      <c r="R15" s="3"/>
      <c r="S15" s="3"/>
      <c r="T15" s="3"/>
      <c r="U15" s="3"/>
      <c r="V15" s="10"/>
      <c r="W15" s="10"/>
      <c r="X15" s="11">
        <f t="shared" si="2"/>
        <v>0</v>
      </c>
      <c r="Y15" s="11">
        <f t="shared" si="6"/>
        <v>0</v>
      </c>
      <c r="Z15" s="9"/>
      <c r="AA15" s="9"/>
      <c r="AB15" s="9"/>
      <c r="AC15" s="9"/>
      <c r="AD15" s="9">
        <f t="shared" si="3"/>
        <v>0</v>
      </c>
      <c r="AE15" s="9">
        <f t="shared" si="4"/>
        <v>0</v>
      </c>
      <c r="AF15" s="82"/>
    </row>
    <row r="16" spans="2:32" ht="31.5" x14ac:dyDescent="0.5">
      <c r="B16" s="80"/>
      <c r="C16" s="7"/>
      <c r="D16" s="9"/>
      <c r="E16" s="9"/>
      <c r="F16" s="9"/>
      <c r="G16" s="9"/>
      <c r="H16" s="9">
        <f t="shared" si="0"/>
        <v>0</v>
      </c>
      <c r="I16" s="14"/>
      <c r="J16" s="9">
        <f t="shared" si="1"/>
        <v>0</v>
      </c>
      <c r="K16" s="9"/>
      <c r="L16" s="9"/>
      <c r="M16" s="9">
        <f t="shared" si="5"/>
        <v>0</v>
      </c>
      <c r="N16" s="9"/>
      <c r="O16" s="9"/>
      <c r="P16" s="3"/>
      <c r="Q16" s="3"/>
      <c r="R16" s="3"/>
      <c r="S16" s="3"/>
      <c r="T16" s="3"/>
      <c r="U16" s="3"/>
      <c r="V16" s="3"/>
      <c r="W16" s="3"/>
      <c r="X16" s="11">
        <f t="shared" si="2"/>
        <v>0</v>
      </c>
      <c r="Y16" s="11">
        <f t="shared" si="6"/>
        <v>0</v>
      </c>
      <c r="Z16" s="9"/>
      <c r="AA16" s="9"/>
      <c r="AB16" s="9"/>
      <c r="AC16" s="9"/>
      <c r="AD16" s="9">
        <f t="shared" si="3"/>
        <v>0</v>
      </c>
      <c r="AE16" s="9">
        <f t="shared" si="4"/>
        <v>0</v>
      </c>
      <c r="AF16" s="82"/>
    </row>
    <row r="17" spans="2:32" ht="31.5" x14ac:dyDescent="0.25">
      <c r="B17" s="80"/>
      <c r="C17" s="7"/>
      <c r="D17" s="9"/>
      <c r="E17" s="9"/>
      <c r="F17" s="9"/>
      <c r="G17" s="9"/>
      <c r="H17" s="9">
        <f t="shared" si="0"/>
        <v>0</v>
      </c>
      <c r="I17" s="9"/>
      <c r="J17" s="9">
        <f t="shared" si="1"/>
        <v>0</v>
      </c>
      <c r="K17" s="9"/>
      <c r="L17" s="9"/>
      <c r="M17" s="9">
        <f t="shared" si="5"/>
        <v>0</v>
      </c>
      <c r="N17" s="9"/>
      <c r="O17" s="9"/>
      <c r="P17" s="3"/>
      <c r="Q17" s="3"/>
      <c r="R17" s="3"/>
      <c r="S17" s="3"/>
      <c r="T17" s="3"/>
      <c r="U17" s="3"/>
      <c r="V17" s="3"/>
      <c r="W17" s="3"/>
      <c r="X17" s="11">
        <f t="shared" si="2"/>
        <v>0</v>
      </c>
      <c r="Y17" s="11">
        <f t="shared" si="6"/>
        <v>0</v>
      </c>
      <c r="Z17" s="9"/>
      <c r="AA17" s="9"/>
      <c r="AB17" s="9"/>
      <c r="AC17" s="9"/>
      <c r="AD17" s="9">
        <f t="shared" si="3"/>
        <v>0</v>
      </c>
      <c r="AE17" s="9">
        <f t="shared" si="4"/>
        <v>0</v>
      </c>
      <c r="AF17" s="82"/>
    </row>
    <row r="18" spans="2:32" ht="31.5" x14ac:dyDescent="0.25">
      <c r="B18" s="80"/>
      <c r="C18" s="7"/>
      <c r="D18" s="9"/>
      <c r="E18" s="9"/>
      <c r="F18" s="9"/>
      <c r="G18" s="9"/>
      <c r="H18" s="9">
        <f t="shared" si="0"/>
        <v>0</v>
      </c>
      <c r="I18" s="9"/>
      <c r="J18" s="9">
        <f t="shared" si="1"/>
        <v>0</v>
      </c>
      <c r="K18" s="9"/>
      <c r="L18" s="9"/>
      <c r="M18" s="9">
        <f t="shared" si="5"/>
        <v>0</v>
      </c>
      <c r="N18" s="9"/>
      <c r="O18" s="9"/>
      <c r="P18" s="3"/>
      <c r="Q18" s="3"/>
      <c r="R18" s="3"/>
      <c r="S18" s="3"/>
      <c r="T18" s="3"/>
      <c r="U18" s="3"/>
      <c r="V18" s="10"/>
      <c r="W18" s="10"/>
      <c r="X18" s="11">
        <f t="shared" si="2"/>
        <v>0</v>
      </c>
      <c r="Y18" s="11">
        <f t="shared" si="6"/>
        <v>0</v>
      </c>
      <c r="Z18" s="9"/>
      <c r="AA18" s="9"/>
      <c r="AB18" s="9"/>
      <c r="AC18" s="9"/>
      <c r="AD18" s="9">
        <f t="shared" si="3"/>
        <v>0</v>
      </c>
      <c r="AE18" s="9">
        <f t="shared" si="4"/>
        <v>0</v>
      </c>
      <c r="AF18" s="82"/>
    </row>
    <row r="19" spans="2:32" ht="31.5" x14ac:dyDescent="0.25">
      <c r="B19" s="80"/>
      <c r="C19" s="7"/>
      <c r="D19" s="9"/>
      <c r="E19" s="9"/>
      <c r="F19" s="9"/>
      <c r="G19" s="9"/>
      <c r="H19" s="9">
        <f t="shared" si="0"/>
        <v>0</v>
      </c>
      <c r="I19" s="9"/>
      <c r="J19" s="9">
        <f t="shared" si="1"/>
        <v>0</v>
      </c>
      <c r="K19" s="9"/>
      <c r="L19" s="9"/>
      <c r="M19" s="9">
        <f t="shared" si="5"/>
        <v>0</v>
      </c>
      <c r="N19" s="9"/>
      <c r="O19" s="9"/>
      <c r="P19" s="3"/>
      <c r="Q19" s="3"/>
      <c r="R19" s="3"/>
      <c r="S19" s="3"/>
      <c r="T19" s="3"/>
      <c r="U19" s="3"/>
      <c r="V19" s="10"/>
      <c r="W19" s="10"/>
      <c r="X19" s="11">
        <f t="shared" si="2"/>
        <v>0</v>
      </c>
      <c r="Y19" s="11">
        <f t="shared" si="6"/>
        <v>0</v>
      </c>
      <c r="Z19" s="9"/>
      <c r="AA19" s="9"/>
      <c r="AB19" s="9"/>
      <c r="AC19" s="9"/>
      <c r="AD19" s="9">
        <f t="shared" si="3"/>
        <v>0</v>
      </c>
      <c r="AE19" s="9">
        <f t="shared" si="4"/>
        <v>0</v>
      </c>
      <c r="AF19" s="82"/>
    </row>
    <row r="20" spans="2:32" ht="31.5" x14ac:dyDescent="0.25">
      <c r="B20" s="80"/>
      <c r="C20" s="7"/>
      <c r="D20" s="9"/>
      <c r="E20" s="9"/>
      <c r="F20" s="9"/>
      <c r="G20" s="9"/>
      <c r="H20" s="9">
        <f t="shared" si="0"/>
        <v>0</v>
      </c>
      <c r="I20" s="9"/>
      <c r="J20" s="9">
        <f t="shared" si="1"/>
        <v>0</v>
      </c>
      <c r="K20" s="9"/>
      <c r="L20" s="9"/>
      <c r="M20" s="9">
        <f t="shared" si="5"/>
        <v>0</v>
      </c>
      <c r="N20" s="9"/>
      <c r="O20" s="9"/>
      <c r="P20" s="3"/>
      <c r="Q20" s="3"/>
      <c r="R20" s="3"/>
      <c r="S20" s="3"/>
      <c r="T20" s="3"/>
      <c r="U20" s="3"/>
      <c r="V20" s="10"/>
      <c r="W20" s="10"/>
      <c r="X20" s="11">
        <f t="shared" si="2"/>
        <v>0</v>
      </c>
      <c r="Y20" s="11">
        <f t="shared" si="6"/>
        <v>0</v>
      </c>
      <c r="Z20" s="9"/>
      <c r="AA20" s="9"/>
      <c r="AB20" s="9"/>
      <c r="AC20" s="9"/>
      <c r="AD20" s="9">
        <f t="shared" si="3"/>
        <v>0</v>
      </c>
      <c r="AE20" s="9">
        <f t="shared" si="4"/>
        <v>0</v>
      </c>
      <c r="AF20" s="82"/>
    </row>
    <row r="21" spans="2:32" ht="31.5" x14ac:dyDescent="0.25">
      <c r="B21" s="80"/>
      <c r="C21" s="7"/>
      <c r="D21" s="9"/>
      <c r="E21" s="9"/>
      <c r="F21" s="9"/>
      <c r="G21" s="9"/>
      <c r="H21" s="9">
        <f t="shared" si="0"/>
        <v>0</v>
      </c>
      <c r="I21" s="9"/>
      <c r="J21" s="9">
        <f t="shared" si="1"/>
        <v>0</v>
      </c>
      <c r="K21" s="9"/>
      <c r="L21" s="9"/>
      <c r="M21" s="9">
        <f t="shared" si="5"/>
        <v>0</v>
      </c>
      <c r="N21" s="9"/>
      <c r="O21" s="9"/>
      <c r="P21" s="3"/>
      <c r="Q21" s="3"/>
      <c r="R21" s="3"/>
      <c r="S21" s="3"/>
      <c r="T21" s="3"/>
      <c r="U21" s="3"/>
      <c r="V21" s="10"/>
      <c r="W21" s="3"/>
      <c r="X21" s="11">
        <f t="shared" si="2"/>
        <v>0</v>
      </c>
      <c r="Y21" s="11">
        <f t="shared" si="6"/>
        <v>0</v>
      </c>
      <c r="Z21" s="9"/>
      <c r="AA21" s="9"/>
      <c r="AB21" s="9"/>
      <c r="AC21" s="9"/>
      <c r="AD21" s="9">
        <f t="shared" si="3"/>
        <v>0</v>
      </c>
      <c r="AE21" s="9">
        <f t="shared" si="4"/>
        <v>0</v>
      </c>
      <c r="AF21" s="82"/>
    </row>
    <row r="22" spans="2:32" ht="31.5" x14ac:dyDescent="0.25">
      <c r="B22" s="80"/>
      <c r="C22" s="7"/>
      <c r="D22" s="9"/>
      <c r="E22" s="9"/>
      <c r="F22" s="9"/>
      <c r="G22" s="9"/>
      <c r="H22" s="9">
        <f t="shared" si="0"/>
        <v>0</v>
      </c>
      <c r="I22" s="9"/>
      <c r="J22" s="9">
        <f t="shared" si="1"/>
        <v>0</v>
      </c>
      <c r="K22" s="9"/>
      <c r="L22" s="9"/>
      <c r="M22" s="9">
        <f t="shared" si="5"/>
        <v>0</v>
      </c>
      <c r="N22" s="9"/>
      <c r="O22" s="9"/>
      <c r="P22" s="3"/>
      <c r="Q22" s="3"/>
      <c r="R22" s="3"/>
      <c r="S22" s="3"/>
      <c r="T22" s="3"/>
      <c r="U22" s="3"/>
      <c r="V22" s="10"/>
      <c r="W22" s="3"/>
      <c r="X22" s="11">
        <f t="shared" si="2"/>
        <v>0</v>
      </c>
      <c r="Y22" s="11">
        <f t="shared" si="6"/>
        <v>0</v>
      </c>
      <c r="Z22" s="9"/>
      <c r="AA22" s="9"/>
      <c r="AB22" s="9"/>
      <c r="AC22" s="9"/>
      <c r="AD22" s="9">
        <f t="shared" si="3"/>
        <v>0</v>
      </c>
      <c r="AE22" s="9">
        <f t="shared" si="4"/>
        <v>0</v>
      </c>
      <c r="AF22" s="82"/>
    </row>
    <row r="23" spans="2:32" ht="31.5" x14ac:dyDescent="0.25">
      <c r="B23" s="80"/>
      <c r="C23" s="7"/>
      <c r="D23" s="9"/>
      <c r="E23" s="9"/>
      <c r="F23" s="9"/>
      <c r="G23" s="9"/>
      <c r="H23" s="9">
        <f t="shared" si="0"/>
        <v>0</v>
      </c>
      <c r="I23" s="9"/>
      <c r="J23" s="9">
        <f t="shared" si="1"/>
        <v>0</v>
      </c>
      <c r="K23" s="9"/>
      <c r="L23" s="9"/>
      <c r="M23" s="9">
        <f t="shared" si="5"/>
        <v>0</v>
      </c>
      <c r="N23" s="9"/>
      <c r="O23" s="9"/>
      <c r="P23" s="3"/>
      <c r="Q23" s="3"/>
      <c r="R23" s="3"/>
      <c r="S23" s="3"/>
      <c r="T23" s="3"/>
      <c r="U23" s="3"/>
      <c r="V23" s="10"/>
      <c r="W23" s="3"/>
      <c r="X23" s="11">
        <f t="shared" si="2"/>
        <v>0</v>
      </c>
      <c r="Y23" s="11">
        <f t="shared" si="6"/>
        <v>0</v>
      </c>
      <c r="Z23" s="9"/>
      <c r="AA23" s="9"/>
      <c r="AB23" s="9"/>
      <c r="AC23" s="9"/>
      <c r="AD23" s="9">
        <f t="shared" si="3"/>
        <v>0</v>
      </c>
      <c r="AE23" s="9">
        <f t="shared" si="4"/>
        <v>0</v>
      </c>
      <c r="AF23" s="82"/>
    </row>
    <row r="24" spans="2:32" ht="31.5" x14ac:dyDescent="0.25">
      <c r="B24" s="80"/>
      <c r="C24" s="7"/>
      <c r="D24" s="9"/>
      <c r="E24" s="9"/>
      <c r="F24" s="9"/>
      <c r="G24" s="9"/>
      <c r="H24" s="9">
        <f t="shared" si="0"/>
        <v>0</v>
      </c>
      <c r="I24" s="9"/>
      <c r="J24" s="9">
        <f t="shared" si="1"/>
        <v>0</v>
      </c>
      <c r="K24" s="9"/>
      <c r="L24" s="9"/>
      <c r="M24" s="9">
        <f t="shared" si="5"/>
        <v>0</v>
      </c>
      <c r="N24" s="9"/>
      <c r="O24" s="9"/>
      <c r="P24" s="3"/>
      <c r="Q24" s="3"/>
      <c r="R24" s="3"/>
      <c r="S24" s="3"/>
      <c r="T24" s="3"/>
      <c r="U24" s="3"/>
      <c r="V24" s="10"/>
      <c r="W24" s="10"/>
      <c r="X24" s="11">
        <f t="shared" si="2"/>
        <v>0</v>
      </c>
      <c r="Y24" s="11">
        <f t="shared" si="6"/>
        <v>0</v>
      </c>
      <c r="Z24" s="9"/>
      <c r="AA24" s="9"/>
      <c r="AB24" s="9"/>
      <c r="AC24" s="9"/>
      <c r="AD24" s="9">
        <f t="shared" si="3"/>
        <v>0</v>
      </c>
      <c r="AE24" s="9">
        <f t="shared" si="4"/>
        <v>0</v>
      </c>
      <c r="AF24" s="82"/>
    </row>
    <row r="25" spans="2:32" ht="31.5" x14ac:dyDescent="0.25">
      <c r="B25" s="80"/>
      <c r="C25" s="7"/>
      <c r="D25" s="9"/>
      <c r="E25" s="9"/>
      <c r="F25" s="9"/>
      <c r="G25" s="9"/>
      <c r="H25" s="9">
        <f t="shared" si="0"/>
        <v>0</v>
      </c>
      <c r="I25" s="9"/>
      <c r="J25" s="9">
        <f t="shared" si="1"/>
        <v>0</v>
      </c>
      <c r="K25" s="9"/>
      <c r="L25" s="9"/>
      <c r="M25" s="9">
        <f t="shared" si="5"/>
        <v>0</v>
      </c>
      <c r="N25" s="9"/>
      <c r="O25" s="9"/>
      <c r="P25" s="3"/>
      <c r="Q25" s="3"/>
      <c r="R25" s="3"/>
      <c r="S25" s="3"/>
      <c r="T25" s="3"/>
      <c r="U25" s="3"/>
      <c r="V25" s="10"/>
      <c r="W25" s="10"/>
      <c r="X25" s="11">
        <f t="shared" si="2"/>
        <v>0</v>
      </c>
      <c r="Y25" s="11">
        <f t="shared" si="6"/>
        <v>0</v>
      </c>
      <c r="Z25" s="9"/>
      <c r="AA25" s="9"/>
      <c r="AB25" s="9"/>
      <c r="AC25" s="9"/>
      <c r="AD25" s="9">
        <f t="shared" si="3"/>
        <v>0</v>
      </c>
      <c r="AE25" s="9">
        <f t="shared" si="4"/>
        <v>0</v>
      </c>
      <c r="AF25" s="82"/>
    </row>
    <row r="26" spans="2:32" ht="31.5" x14ac:dyDescent="0.25">
      <c r="B26" s="80"/>
      <c r="C26" s="7"/>
      <c r="D26" s="9"/>
      <c r="E26" s="9"/>
      <c r="F26" s="9"/>
      <c r="G26" s="9"/>
      <c r="H26" s="9">
        <f t="shared" si="0"/>
        <v>0</v>
      </c>
      <c r="I26" s="9"/>
      <c r="J26" s="9">
        <f t="shared" si="1"/>
        <v>0</v>
      </c>
      <c r="K26" s="9"/>
      <c r="L26" s="9"/>
      <c r="M26" s="9">
        <f t="shared" si="5"/>
        <v>0</v>
      </c>
      <c r="N26" s="9"/>
      <c r="O26" s="9"/>
      <c r="P26" s="3"/>
      <c r="Q26" s="3"/>
      <c r="R26" s="3"/>
      <c r="S26" s="3"/>
      <c r="T26" s="3"/>
      <c r="U26" s="3"/>
      <c r="V26" s="10"/>
      <c r="W26" s="10"/>
      <c r="X26" s="11">
        <f t="shared" si="2"/>
        <v>0</v>
      </c>
      <c r="Y26" s="11">
        <f t="shared" si="6"/>
        <v>0</v>
      </c>
      <c r="Z26" s="9"/>
      <c r="AA26" s="9"/>
      <c r="AB26" s="9"/>
      <c r="AC26" s="9"/>
      <c r="AD26" s="9">
        <f t="shared" si="3"/>
        <v>0</v>
      </c>
      <c r="AE26" s="9">
        <f t="shared" si="4"/>
        <v>0</v>
      </c>
      <c r="AF26" s="82"/>
    </row>
    <row r="27" spans="2:32" ht="31.5" x14ac:dyDescent="0.25">
      <c r="B27" s="80"/>
      <c r="C27" s="7"/>
      <c r="D27" s="9"/>
      <c r="E27" s="9"/>
      <c r="F27" s="9"/>
      <c r="G27" s="9"/>
      <c r="H27" s="9">
        <f t="shared" si="0"/>
        <v>0</v>
      </c>
      <c r="I27" s="9"/>
      <c r="J27" s="9">
        <f t="shared" si="1"/>
        <v>0</v>
      </c>
      <c r="K27" s="9"/>
      <c r="L27" s="9"/>
      <c r="M27" s="9">
        <f t="shared" si="5"/>
        <v>0</v>
      </c>
      <c r="N27" s="9"/>
      <c r="O27" s="9"/>
      <c r="P27" s="3"/>
      <c r="Q27" s="3"/>
      <c r="R27" s="3"/>
      <c r="S27" s="3"/>
      <c r="T27" s="3"/>
      <c r="U27" s="3"/>
      <c r="V27" s="10"/>
      <c r="W27" s="3"/>
      <c r="X27" s="11">
        <f t="shared" si="2"/>
        <v>0</v>
      </c>
      <c r="Y27" s="11">
        <f t="shared" si="6"/>
        <v>0</v>
      </c>
      <c r="Z27" s="9"/>
      <c r="AA27" s="9"/>
      <c r="AB27" s="9"/>
      <c r="AC27" s="9"/>
      <c r="AD27" s="9">
        <f t="shared" si="3"/>
        <v>0</v>
      </c>
      <c r="AE27" s="9">
        <f t="shared" si="4"/>
        <v>0</v>
      </c>
      <c r="AF27" s="82"/>
    </row>
    <row r="28" spans="2:32" ht="31.5" x14ac:dyDescent="0.25">
      <c r="B28" s="80"/>
      <c r="C28" s="7"/>
      <c r="D28" s="9"/>
      <c r="E28" s="9"/>
      <c r="F28" s="9"/>
      <c r="G28" s="9"/>
      <c r="H28" s="9">
        <f t="shared" si="0"/>
        <v>0</v>
      </c>
      <c r="I28" s="9"/>
      <c r="J28" s="9">
        <f t="shared" si="1"/>
        <v>0</v>
      </c>
      <c r="K28" s="9"/>
      <c r="L28" s="9"/>
      <c r="M28" s="9">
        <f t="shared" si="5"/>
        <v>0</v>
      </c>
      <c r="N28" s="9"/>
      <c r="O28" s="9"/>
      <c r="P28" s="3"/>
      <c r="Q28" s="3"/>
      <c r="R28" s="3"/>
      <c r="S28" s="3"/>
      <c r="T28" s="3"/>
      <c r="U28" s="3"/>
      <c r="V28" s="10"/>
      <c r="W28" s="3"/>
      <c r="X28" s="11">
        <f t="shared" si="2"/>
        <v>0</v>
      </c>
      <c r="Y28" s="11">
        <f t="shared" si="6"/>
        <v>0</v>
      </c>
      <c r="Z28" s="9"/>
      <c r="AA28" s="9"/>
      <c r="AB28" s="9"/>
      <c r="AC28" s="9"/>
      <c r="AD28" s="9">
        <f t="shared" si="3"/>
        <v>0</v>
      </c>
      <c r="AE28" s="9">
        <f t="shared" si="4"/>
        <v>0</v>
      </c>
      <c r="AF28" s="82"/>
    </row>
    <row r="29" spans="2:32" ht="31.5" x14ac:dyDescent="0.25">
      <c r="B29" s="80"/>
      <c r="C29" s="7"/>
      <c r="D29" s="9"/>
      <c r="E29" s="9"/>
      <c r="F29" s="9"/>
      <c r="G29" s="9"/>
      <c r="H29" s="9">
        <f t="shared" si="0"/>
        <v>0</v>
      </c>
      <c r="I29" s="9"/>
      <c r="J29" s="9">
        <f t="shared" si="1"/>
        <v>0</v>
      </c>
      <c r="K29" s="9"/>
      <c r="L29" s="9"/>
      <c r="M29" s="9">
        <f t="shared" si="5"/>
        <v>0</v>
      </c>
      <c r="N29" s="9"/>
      <c r="O29" s="9"/>
      <c r="P29" s="3"/>
      <c r="Q29" s="3"/>
      <c r="R29" s="3"/>
      <c r="S29" s="3"/>
      <c r="T29" s="3"/>
      <c r="U29" s="3"/>
      <c r="V29" s="10"/>
      <c r="W29" s="3"/>
      <c r="X29" s="11">
        <f t="shared" si="2"/>
        <v>0</v>
      </c>
      <c r="Y29" s="11">
        <f t="shared" si="6"/>
        <v>0</v>
      </c>
      <c r="Z29" s="9"/>
      <c r="AA29" s="9"/>
      <c r="AB29" s="9"/>
      <c r="AC29" s="9"/>
      <c r="AD29" s="9">
        <f t="shared" si="3"/>
        <v>0</v>
      </c>
      <c r="AE29" s="9">
        <f t="shared" si="4"/>
        <v>0</v>
      </c>
      <c r="AF29" s="82"/>
    </row>
    <row r="30" spans="2:32" ht="31.5" x14ac:dyDescent="0.25">
      <c r="B30" s="80"/>
      <c r="C30" s="7"/>
      <c r="D30" s="9"/>
      <c r="E30" s="9"/>
      <c r="F30" s="9"/>
      <c r="G30" s="9"/>
      <c r="H30" s="9">
        <f t="shared" si="0"/>
        <v>0</v>
      </c>
      <c r="I30" s="9"/>
      <c r="J30" s="9">
        <f t="shared" si="1"/>
        <v>0</v>
      </c>
      <c r="K30" s="9"/>
      <c r="L30" s="9"/>
      <c r="M30" s="9">
        <f t="shared" si="5"/>
        <v>0</v>
      </c>
      <c r="N30" s="9"/>
      <c r="O30" s="9"/>
      <c r="P30" s="3"/>
      <c r="Q30" s="3"/>
      <c r="R30" s="3"/>
      <c r="S30" s="3"/>
      <c r="T30" s="3"/>
      <c r="U30" s="3"/>
      <c r="V30" s="10"/>
      <c r="W30" s="3"/>
      <c r="X30" s="11">
        <f t="shared" si="2"/>
        <v>0</v>
      </c>
      <c r="Y30" s="11">
        <f t="shared" si="6"/>
        <v>0</v>
      </c>
      <c r="Z30" s="9"/>
      <c r="AA30" s="9"/>
      <c r="AB30" s="9"/>
      <c r="AC30" s="9"/>
      <c r="AD30" s="9">
        <f t="shared" si="3"/>
        <v>0</v>
      </c>
      <c r="AE30" s="9">
        <f t="shared" si="4"/>
        <v>0</v>
      </c>
      <c r="AF30" s="82"/>
    </row>
    <row r="31" spans="2:32" ht="31.5" x14ac:dyDescent="0.25">
      <c r="B31" s="80"/>
      <c r="C31" s="7"/>
      <c r="D31" s="9"/>
      <c r="E31" s="9"/>
      <c r="F31" s="9"/>
      <c r="G31" s="9"/>
      <c r="H31" s="9">
        <f t="shared" si="0"/>
        <v>0</v>
      </c>
      <c r="I31" s="9"/>
      <c r="J31" s="9">
        <f t="shared" si="1"/>
        <v>0</v>
      </c>
      <c r="K31" s="9"/>
      <c r="L31" s="9"/>
      <c r="M31" s="9">
        <f t="shared" si="5"/>
        <v>0</v>
      </c>
      <c r="N31" s="9"/>
      <c r="O31" s="9"/>
      <c r="P31" s="3"/>
      <c r="Q31" s="3"/>
      <c r="R31" s="3"/>
      <c r="S31" s="3"/>
      <c r="T31" s="3"/>
      <c r="U31" s="3"/>
      <c r="V31" s="3"/>
      <c r="W31" s="3"/>
      <c r="X31" s="11">
        <f t="shared" si="2"/>
        <v>0</v>
      </c>
      <c r="Y31" s="11">
        <f t="shared" si="6"/>
        <v>0</v>
      </c>
      <c r="Z31" s="9"/>
      <c r="AA31" s="9"/>
      <c r="AB31" s="9"/>
      <c r="AC31" s="9"/>
      <c r="AD31" s="9">
        <f t="shared" si="3"/>
        <v>0</v>
      </c>
      <c r="AE31" s="9">
        <f t="shared" si="4"/>
        <v>0</v>
      </c>
      <c r="AF31" s="82"/>
    </row>
    <row r="32" spans="2:32" ht="31.5" x14ac:dyDescent="0.25">
      <c r="B32" s="80"/>
      <c r="C32" s="7"/>
      <c r="D32" s="9"/>
      <c r="E32" s="9"/>
      <c r="F32" s="9"/>
      <c r="G32" s="9"/>
      <c r="H32" s="9">
        <f t="shared" si="0"/>
        <v>0</v>
      </c>
      <c r="I32" s="9"/>
      <c r="J32" s="9">
        <f t="shared" si="1"/>
        <v>0</v>
      </c>
      <c r="K32" s="9"/>
      <c r="L32" s="9"/>
      <c r="M32" s="9">
        <f t="shared" si="5"/>
        <v>0</v>
      </c>
      <c r="N32" s="9"/>
      <c r="O32" s="9"/>
      <c r="P32" s="3"/>
      <c r="Q32" s="3"/>
      <c r="R32" s="3"/>
      <c r="S32" s="3"/>
      <c r="T32" s="3"/>
      <c r="U32" s="3"/>
      <c r="V32" s="10"/>
      <c r="W32" s="3"/>
      <c r="X32" s="11">
        <f t="shared" si="2"/>
        <v>0</v>
      </c>
      <c r="Y32" s="11">
        <f t="shared" si="6"/>
        <v>0</v>
      </c>
      <c r="Z32" s="9"/>
      <c r="AA32" s="9"/>
      <c r="AB32" s="9"/>
      <c r="AC32" s="9"/>
      <c r="AD32" s="9">
        <f t="shared" si="3"/>
        <v>0</v>
      </c>
      <c r="AE32" s="9">
        <f t="shared" si="4"/>
        <v>0</v>
      </c>
      <c r="AF32" s="82"/>
    </row>
    <row r="33" spans="2:32" ht="31.5" x14ac:dyDescent="0.25">
      <c r="B33" s="80"/>
      <c r="C33" s="7"/>
      <c r="D33" s="9"/>
      <c r="E33" s="9"/>
      <c r="F33" s="9"/>
      <c r="G33" s="9"/>
      <c r="H33" s="9">
        <f t="shared" si="0"/>
        <v>0</v>
      </c>
      <c r="I33" s="9"/>
      <c r="J33" s="9">
        <f t="shared" si="1"/>
        <v>0</v>
      </c>
      <c r="K33" s="9"/>
      <c r="L33" s="9"/>
      <c r="M33" s="9">
        <f t="shared" si="5"/>
        <v>0</v>
      </c>
      <c r="N33" s="9"/>
      <c r="O33" s="9"/>
      <c r="P33" s="3"/>
      <c r="Q33" s="3"/>
      <c r="R33" s="3"/>
      <c r="S33" s="3"/>
      <c r="T33" s="3"/>
      <c r="U33" s="3"/>
      <c r="V33" s="10"/>
      <c r="W33" s="10"/>
      <c r="X33" s="11">
        <f t="shared" si="2"/>
        <v>0</v>
      </c>
      <c r="Y33" s="11">
        <f t="shared" si="6"/>
        <v>0</v>
      </c>
      <c r="Z33" s="9"/>
      <c r="AA33" s="9"/>
      <c r="AB33" s="9"/>
      <c r="AC33" s="9"/>
      <c r="AD33" s="9">
        <f t="shared" si="3"/>
        <v>0</v>
      </c>
      <c r="AE33" s="9">
        <f t="shared" si="4"/>
        <v>0</v>
      </c>
      <c r="AF33" s="82"/>
    </row>
    <row r="34" spans="2:32" ht="31.5" x14ac:dyDescent="0.25">
      <c r="B34" s="80"/>
      <c r="C34" s="7"/>
      <c r="D34" s="9"/>
      <c r="E34" s="9"/>
      <c r="F34" s="9"/>
      <c r="G34" s="9"/>
      <c r="H34" s="9">
        <f t="shared" si="0"/>
        <v>0</v>
      </c>
      <c r="I34" s="9"/>
      <c r="J34" s="9">
        <f t="shared" si="1"/>
        <v>0</v>
      </c>
      <c r="K34" s="9"/>
      <c r="L34" s="9"/>
      <c r="M34" s="9">
        <f t="shared" si="5"/>
        <v>0</v>
      </c>
      <c r="N34" s="9"/>
      <c r="O34" s="9"/>
      <c r="P34" s="3"/>
      <c r="Q34" s="3"/>
      <c r="R34" s="3"/>
      <c r="S34" s="3"/>
      <c r="T34" s="3"/>
      <c r="U34" s="3"/>
      <c r="V34" s="10"/>
      <c r="W34" s="3"/>
      <c r="X34" s="11">
        <f t="shared" si="2"/>
        <v>0</v>
      </c>
      <c r="Y34" s="11">
        <f t="shared" si="6"/>
        <v>0</v>
      </c>
      <c r="Z34" s="9"/>
      <c r="AA34" s="9"/>
      <c r="AB34" s="9"/>
      <c r="AC34" s="9"/>
      <c r="AD34" s="9">
        <f t="shared" si="3"/>
        <v>0</v>
      </c>
      <c r="AE34" s="9">
        <f t="shared" si="4"/>
        <v>0</v>
      </c>
      <c r="AF34" s="82"/>
    </row>
    <row r="35" spans="2:32" ht="31.5" x14ac:dyDescent="0.25">
      <c r="B35" s="80"/>
      <c r="C35" s="7"/>
      <c r="D35" s="9"/>
      <c r="E35" s="9"/>
      <c r="F35" s="9"/>
      <c r="G35" s="9"/>
      <c r="H35" s="9">
        <f t="shared" si="0"/>
        <v>0</v>
      </c>
      <c r="I35" s="9"/>
      <c r="J35" s="9">
        <f t="shared" si="1"/>
        <v>0</v>
      </c>
      <c r="K35" s="9"/>
      <c r="L35" s="9"/>
      <c r="M35" s="9">
        <f t="shared" si="5"/>
        <v>0</v>
      </c>
      <c r="N35" s="9"/>
      <c r="O35" s="9"/>
      <c r="P35" s="3"/>
      <c r="Q35" s="3"/>
      <c r="R35" s="3"/>
      <c r="S35" s="3"/>
      <c r="T35" s="3"/>
      <c r="U35" s="3"/>
      <c r="V35" s="10"/>
      <c r="W35" s="3"/>
      <c r="X35" s="11">
        <f t="shared" si="2"/>
        <v>0</v>
      </c>
      <c r="Y35" s="11">
        <f t="shared" si="6"/>
        <v>0</v>
      </c>
      <c r="Z35" s="9"/>
      <c r="AA35" s="9"/>
      <c r="AB35" s="9"/>
      <c r="AC35" s="9"/>
      <c r="AD35" s="9">
        <f t="shared" ref="AD35" si="7">SUM(AA35+AB35)</f>
        <v>0</v>
      </c>
      <c r="AE35" s="9">
        <f t="shared" si="4"/>
        <v>0</v>
      </c>
      <c r="AF35" s="82"/>
    </row>
    <row r="36" spans="2:32" ht="63" x14ac:dyDescent="0.25">
      <c r="B36" s="80"/>
      <c r="C36" s="15" t="s">
        <v>30</v>
      </c>
      <c r="D36" s="16">
        <f>SUM(D6:D35)</f>
        <v>0</v>
      </c>
      <c r="E36" s="16"/>
      <c r="F36" s="16">
        <f>SUM(F6:F35)</f>
        <v>0</v>
      </c>
      <c r="G36" s="16"/>
      <c r="H36" s="16">
        <f>SUM(H6:H35)</f>
        <v>0</v>
      </c>
      <c r="I36" s="16">
        <f>SUM(I6:I35)</f>
        <v>0</v>
      </c>
      <c r="J36" s="16">
        <f>I36-H36</f>
        <v>0</v>
      </c>
      <c r="K36" s="16">
        <f>SUM(K6:K35)</f>
        <v>0</v>
      </c>
      <c r="L36" s="16">
        <f>SUM(L6:L35)</f>
        <v>0</v>
      </c>
      <c r="M36" s="16">
        <f>H36-K36</f>
        <v>0</v>
      </c>
      <c r="N36" s="16" t="e">
        <f>AVERAGE(N6:N35)</f>
        <v>#DIV/0!</v>
      </c>
      <c r="O36" s="16"/>
      <c r="P36" s="17" t="e">
        <f>AVERAGE(P6:P35)</f>
        <v>#DIV/0!</v>
      </c>
      <c r="Q36" s="18" t="e">
        <f>AVERAGE(Q6:Q35)</f>
        <v>#DIV/0!</v>
      </c>
      <c r="R36" s="18"/>
      <c r="S36" s="18" t="e">
        <f t="shared" ref="S36:Z36" si="8">AVERAGE(S6:S35)</f>
        <v>#DIV/0!</v>
      </c>
      <c r="T36" s="18" t="e">
        <f t="shared" si="8"/>
        <v>#DIV/0!</v>
      </c>
      <c r="U36" s="18" t="e">
        <f t="shared" si="8"/>
        <v>#DIV/0!</v>
      </c>
      <c r="V36" s="18" t="e">
        <f t="shared" si="8"/>
        <v>#DIV/0!</v>
      </c>
      <c r="W36" s="18" t="e">
        <f t="shared" si="8"/>
        <v>#DIV/0!</v>
      </c>
      <c r="X36" s="18">
        <f t="shared" si="8"/>
        <v>0</v>
      </c>
      <c r="Y36" s="18">
        <f t="shared" si="8"/>
        <v>0</v>
      </c>
      <c r="Z36" s="16" t="e">
        <f t="shared" si="8"/>
        <v>#DIV/0!</v>
      </c>
      <c r="AA36" s="16" t="e">
        <f>AVERAGE(AA6:AA35)</f>
        <v>#DIV/0!</v>
      </c>
      <c r="AB36" s="16" t="e">
        <f>AVERAGE(AB6:AB35)</f>
        <v>#DIV/0!</v>
      </c>
      <c r="AC36" s="16" t="e">
        <f>AVERAGE(AC6:AC35)</f>
        <v>#DIV/0!</v>
      </c>
      <c r="AD36" s="16">
        <f>AVERAGE(AD6:AD35)</f>
        <v>0</v>
      </c>
      <c r="AE36" s="16">
        <f>AVERAGE(AE6:AE35)</f>
        <v>0</v>
      </c>
      <c r="AF36" s="82"/>
    </row>
    <row r="37" spans="2:32" ht="31.5" x14ac:dyDescent="0.5">
      <c r="B37" s="80"/>
      <c r="C37" s="19"/>
      <c r="H37" s="19"/>
      <c r="I37" s="12"/>
      <c r="J37" s="20"/>
      <c r="K37" s="20"/>
      <c r="L37" s="20"/>
      <c r="S37" s="21"/>
      <c r="T37" s="19"/>
      <c r="U37" s="19"/>
      <c r="V37" s="22"/>
      <c r="W37" s="19"/>
      <c r="X37" s="19"/>
      <c r="Y37" s="22"/>
      <c r="Z37" s="19"/>
      <c r="AA37" s="19"/>
      <c r="AB37" s="19"/>
      <c r="AC37" s="19"/>
      <c r="AD37" s="19"/>
      <c r="AE37" s="19"/>
      <c r="AF37" s="82"/>
    </row>
    <row r="38" spans="2:32" ht="49.5" customHeight="1" x14ac:dyDescent="0.25"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6"/>
    </row>
  </sheetData>
  <mergeCells count="8">
    <mergeCell ref="B38:AF38"/>
    <mergeCell ref="B2:AF2"/>
    <mergeCell ref="B3:B37"/>
    <mergeCell ref="C3:AE3"/>
    <mergeCell ref="AF3:AF37"/>
    <mergeCell ref="D4:E4"/>
    <mergeCell ref="F4:G4"/>
    <mergeCell ref="H4:Z4"/>
  </mergeCells>
  <conditionalFormatting sqref="D6:D35">
    <cfRule type="cellIs" dxfId="56" priority="10" operator="lessThan">
      <formula>15499</formula>
    </cfRule>
    <cfRule type="cellIs" dxfId="55" priority="11" operator="greaterThan">
      <formula>15501</formula>
    </cfRule>
  </conditionalFormatting>
  <conditionalFormatting sqref="E6:E35 G6:G35">
    <cfRule type="containsText" dxfId="54" priority="24" operator="containsText" text="2">
      <formula>NOT(ISERROR(SEARCH("2",E6)))</formula>
    </cfRule>
    <cfRule type="containsText" dxfId="53" priority="25" operator="containsText" text="1">
      <formula>NOT(ISERROR(SEARCH("1",E6)))</formula>
    </cfRule>
    <cfRule type="containsText" dxfId="52" priority="22" operator="containsText" text="4">
      <formula>NOT(ISERROR(SEARCH("4",E6)))</formula>
    </cfRule>
    <cfRule type="containsText" dxfId="51" priority="23" operator="containsText" text="3">
      <formula>NOT(ISERROR(SEARCH("3",E6)))</formula>
    </cfRule>
  </conditionalFormatting>
  <conditionalFormatting sqref="F6:F35">
    <cfRule type="cellIs" dxfId="50" priority="34" operator="lessThan">
      <formula>12799</formula>
    </cfRule>
    <cfRule type="cellIs" dxfId="49" priority="38" operator="greaterThan">
      <formula>12801</formula>
    </cfRule>
    <cfRule type="cellIs" dxfId="48" priority="35" operator="greaterThan">
      <formula>12801</formula>
    </cfRule>
  </conditionalFormatting>
  <conditionalFormatting sqref="H6:H35">
    <cfRule type="cellIs" dxfId="47" priority="28" operator="greaterThan">
      <formula>25501</formula>
    </cfRule>
    <cfRule type="cellIs" dxfId="46" priority="27" operator="lessThan">
      <formula>25499</formula>
    </cfRule>
    <cfRule type="cellIs" dxfId="45" priority="46" operator="greaterThan">
      <formula>24999</formula>
    </cfRule>
    <cfRule type="cellIs" dxfId="44" priority="45" operator="lessThan">
      <formula>24999</formula>
    </cfRule>
    <cfRule type="cellIs" dxfId="43" priority="44" operator="equal">
      <formula>25000</formula>
    </cfRule>
  </conditionalFormatting>
  <conditionalFormatting sqref="H36">
    <cfRule type="cellIs" dxfId="42" priority="13" operator="lessThan">
      <formula>$I$36</formula>
    </cfRule>
    <cfRule type="cellIs" dxfId="41" priority="12" operator="greaterThan">
      <formula>$I$36</formula>
    </cfRule>
  </conditionalFormatting>
  <conditionalFormatting sqref="J6:J35">
    <cfRule type="cellIs" dxfId="40" priority="43" operator="lessThan">
      <formula>1</formula>
    </cfRule>
  </conditionalFormatting>
  <conditionalFormatting sqref="J6:J36">
    <cfRule type="cellIs" dxfId="39" priority="19" operator="greaterThan">
      <formula>1</formula>
    </cfRule>
  </conditionalFormatting>
  <conditionalFormatting sqref="J36">
    <cfRule type="cellIs" dxfId="38" priority="18" operator="lessThan">
      <formula>0</formula>
    </cfRule>
  </conditionalFormatting>
  <conditionalFormatting sqref="M6:M36">
    <cfRule type="cellIs" dxfId="37" priority="16" operator="lessThan">
      <formula>1</formula>
    </cfRule>
    <cfRule type="cellIs" dxfId="36" priority="17" operator="greaterThan">
      <formula>1</formula>
    </cfRule>
  </conditionalFormatting>
  <conditionalFormatting sqref="O6:O35">
    <cfRule type="containsText" dxfId="35" priority="20" operator="containsText" text="X">
      <formula>NOT(ISERROR(SEARCH("X",O6)))</formula>
    </cfRule>
    <cfRule type="containsText" dxfId="34" priority="21" operator="containsText" text="W">
      <formula>NOT(ISERROR(SEARCH("W",O6)))</formula>
    </cfRule>
  </conditionalFormatting>
  <conditionalFormatting sqref="O9:O35">
    <cfRule type="containsText" dxfId="33" priority="55" operator="containsText" text="W">
      <formula>NOT(ISERROR(SEARCH("W",O9)))</formula>
    </cfRule>
    <cfRule type="containsText" dxfId="32" priority="54" operator="containsText" text="X">
      <formula>NOT(ISERROR(SEARCH("X",O9)))</formula>
    </cfRule>
  </conditionalFormatting>
  <conditionalFormatting sqref="P6:P35">
    <cfRule type="cellIs" dxfId="31" priority="51" operator="equal">
      <formula>1</formula>
    </cfRule>
    <cfRule type="cellIs" dxfId="30" priority="52" operator="lessThan">
      <formula>1</formula>
    </cfRule>
    <cfRule type="cellIs" dxfId="29" priority="53" operator="greaterThan">
      <formula>1</formula>
    </cfRule>
  </conditionalFormatting>
  <conditionalFormatting sqref="R6:R35">
    <cfRule type="containsText" dxfId="28" priority="26" operator="containsText" text="Y">
      <formula>NOT(ISERROR(SEARCH("Y",R6)))</formula>
    </cfRule>
    <cfRule type="containsText" dxfId="27" priority="36" operator="containsText" text="N">
      <formula>NOT(ISERROR(SEARCH("N",R6)))</formula>
    </cfRule>
    <cfRule type="containsText" dxfId="26" priority="37" operator="containsText" text="Y">
      <formula>NOT(ISERROR(SEARCH("Y",R6)))</formula>
    </cfRule>
  </conditionalFormatting>
  <conditionalFormatting sqref="S6:S35">
    <cfRule type="cellIs" dxfId="25" priority="47" operator="between">
      <formula>40</formula>
      <formula>49</formula>
    </cfRule>
    <cfRule type="cellIs" dxfId="24" priority="48" operator="lessThan">
      <formula>49</formula>
    </cfRule>
    <cfRule type="cellIs" dxfId="23" priority="50" operator="equal">
      <formula>40</formula>
    </cfRule>
    <cfRule type="cellIs" dxfId="22" priority="49" operator="greaterThan">
      <formula>49</formula>
    </cfRule>
  </conditionalFormatting>
  <conditionalFormatting sqref="T6:T35">
    <cfRule type="cellIs" dxfId="21" priority="39" operator="lessThan">
      <formula>71</formula>
    </cfRule>
    <cfRule type="cellIs" dxfId="20" priority="40" operator="greaterThan">
      <formula>72</formula>
    </cfRule>
  </conditionalFormatting>
  <conditionalFormatting sqref="T6:U35">
    <cfRule type="cellIs" dxfId="19" priority="3" operator="lessThan">
      <formula>75</formula>
    </cfRule>
    <cfRule type="cellIs" dxfId="18" priority="4" operator="greaterThan">
      <formula>76</formula>
    </cfRule>
    <cfRule type="cellIs" dxfId="17" priority="32" operator="lessThan">
      <formula>71</formula>
    </cfRule>
    <cfRule type="cellIs" dxfId="16" priority="33" operator="greaterThan">
      <formula>73</formula>
    </cfRule>
  </conditionalFormatting>
  <conditionalFormatting sqref="U6:U35">
    <cfRule type="cellIs" dxfId="15" priority="41" operator="lessThan">
      <formula>79</formula>
    </cfRule>
    <cfRule type="cellIs" dxfId="14" priority="42" operator="greaterThan">
      <formula>80</formula>
    </cfRule>
  </conditionalFormatting>
  <conditionalFormatting sqref="V6:W35">
    <cfRule type="cellIs" dxfId="13" priority="9" operator="greaterThan">
      <formula>8</formula>
    </cfRule>
    <cfRule type="cellIs" dxfId="12" priority="8" operator="equal">
      <formula>7</formula>
    </cfRule>
    <cfRule type="cellIs" dxfId="11" priority="7" operator="lessThan">
      <formula>7</formula>
    </cfRule>
  </conditionalFormatting>
  <conditionalFormatting sqref="X6:X35">
    <cfRule type="cellIs" dxfId="10" priority="30" operator="lessThan">
      <formula>39</formula>
    </cfRule>
    <cfRule type="cellIs" dxfId="9" priority="31" operator="greaterThan">
      <formula>41</formula>
    </cfRule>
    <cfRule type="cellIs" dxfId="8" priority="29" operator="equal">
      <formula>40</formula>
    </cfRule>
  </conditionalFormatting>
  <conditionalFormatting sqref="X6:X36">
    <cfRule type="cellIs" dxfId="7" priority="15" operator="greaterThan">
      <formula>25</formula>
    </cfRule>
    <cfRule type="cellIs" dxfId="6" priority="14" operator="lessThan">
      <formula>25</formula>
    </cfRule>
  </conditionalFormatting>
  <conditionalFormatting sqref="Z6:Z35">
    <cfRule type="cellIs" dxfId="5" priority="5" operator="greaterThan">
      <formula>876</formula>
    </cfRule>
    <cfRule type="cellIs" dxfId="4" priority="6" operator="lessThan">
      <formula>874</formula>
    </cfRule>
  </conditionalFormatting>
  <conditionalFormatting sqref="AE6:AE35">
    <cfRule type="cellIs" dxfId="3" priority="2" operator="greaterThan">
      <formula>0</formula>
    </cfRule>
    <cfRule type="cellIs" dxfId="2" priority="1" operator="lessThan">
      <formula>-1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ED08-7E69-49A6-B3FF-584754353977}">
  <dimension ref="C3:W39"/>
  <sheetViews>
    <sheetView workbookViewId="0">
      <selection activeCell="E4" sqref="E4"/>
    </sheetView>
  </sheetViews>
  <sheetFormatPr defaultRowHeight="15.75" x14ac:dyDescent="0.25"/>
  <cols>
    <col min="3" max="3" width="9.125" style="2" bestFit="1" customWidth="1"/>
    <col min="4" max="4" width="10.75" style="2" customWidth="1"/>
    <col min="5" max="6" width="14.125" style="2" customWidth="1"/>
    <col min="7" max="7" width="12.625" style="2" bestFit="1" customWidth="1"/>
    <col min="8" max="8" width="12.625" style="2" customWidth="1"/>
    <col min="9" max="9" width="9.125" style="43" customWidth="1"/>
    <col min="10" max="10" width="8.625" style="43" customWidth="1"/>
    <col min="11" max="11" width="12.625" style="43" customWidth="1"/>
    <col min="12" max="12" width="10.75" style="43" customWidth="1"/>
  </cols>
  <sheetData>
    <row r="3" spans="3:15" ht="47.25" x14ac:dyDescent="0.25">
      <c r="C3" s="23" t="s">
        <v>43</v>
      </c>
      <c r="D3" s="24" t="s">
        <v>44</v>
      </c>
      <c r="E3" s="23" t="s">
        <v>9</v>
      </c>
      <c r="F3" s="23" t="s">
        <v>45</v>
      </c>
      <c r="G3" s="25" t="s">
        <v>46</v>
      </c>
      <c r="H3" s="25" t="s">
        <v>47</v>
      </c>
      <c r="I3" s="26" t="s">
        <v>48</v>
      </c>
      <c r="J3" s="27" t="s">
        <v>14</v>
      </c>
      <c r="K3" s="26" t="s">
        <v>49</v>
      </c>
      <c r="L3" s="26" t="s">
        <v>50</v>
      </c>
      <c r="M3" s="28" t="s">
        <v>51</v>
      </c>
      <c r="N3" s="66" t="s">
        <v>81</v>
      </c>
      <c r="O3" s="66" t="s">
        <v>28</v>
      </c>
    </row>
    <row r="4" spans="3:15" x14ac:dyDescent="0.25">
      <c r="C4" s="29" t="s">
        <v>52</v>
      </c>
      <c r="D4" s="30">
        <f>Jan!H37</f>
        <v>622401</v>
      </c>
      <c r="E4" s="30">
        <f>Jan!K37</f>
        <v>463095</v>
      </c>
      <c r="F4" s="30">
        <f>Jan!J37</f>
        <v>-47586</v>
      </c>
      <c r="G4" s="30">
        <f>Jan!L37</f>
        <v>19193</v>
      </c>
      <c r="H4" s="30">
        <f>D4-(E4+G4)</f>
        <v>140113</v>
      </c>
      <c r="I4" s="31">
        <v>20777</v>
      </c>
      <c r="J4" s="32">
        <f>Jan!P37</f>
        <v>0</v>
      </c>
      <c r="K4" s="33">
        <v>15</v>
      </c>
      <c r="L4" s="31">
        <v>18249</v>
      </c>
      <c r="M4" s="34">
        <f>Jan!Q37</f>
        <v>2.2000000000000002</v>
      </c>
      <c r="N4" s="30">
        <f>Jan!AB37</f>
        <v>19.399999999999999</v>
      </c>
      <c r="O4" s="30">
        <f>Jan!AC38</f>
        <v>578</v>
      </c>
    </row>
    <row r="5" spans="3:15" x14ac:dyDescent="0.25">
      <c r="C5" s="29" t="s">
        <v>53</v>
      </c>
      <c r="D5" s="30">
        <f>Feb!H34</f>
        <v>409775</v>
      </c>
      <c r="E5" s="30">
        <f>Feb!K34</f>
        <v>270331</v>
      </c>
      <c r="F5" s="30">
        <f>Feb!M34</f>
        <v>139444</v>
      </c>
      <c r="G5" s="30">
        <f>Feb!L34</f>
        <v>11878</v>
      </c>
      <c r="H5" s="30">
        <f t="shared" ref="H5:H15" si="0">D5-(E5+G5)</f>
        <v>127566</v>
      </c>
      <c r="I5" s="31"/>
      <c r="J5" s="32"/>
      <c r="K5" s="33"/>
      <c r="L5" s="31"/>
      <c r="M5" s="34">
        <f>Feb!Q34</f>
        <v>1.1666666666666667</v>
      </c>
      <c r="N5" s="30">
        <f>Feb!AB34</f>
        <v>17</v>
      </c>
      <c r="O5" s="30">
        <f>Feb!AC34</f>
        <v>392</v>
      </c>
    </row>
    <row r="6" spans="3:15" x14ac:dyDescent="0.25">
      <c r="C6" s="29" t="s">
        <v>54</v>
      </c>
      <c r="D6" s="30"/>
      <c r="E6" s="30"/>
      <c r="F6" s="30"/>
      <c r="G6" s="30"/>
      <c r="H6" s="30">
        <f t="shared" si="0"/>
        <v>0</v>
      </c>
      <c r="I6" s="31"/>
      <c r="J6" s="32"/>
      <c r="K6" s="33"/>
      <c r="L6" s="31"/>
      <c r="M6" s="34"/>
      <c r="N6" s="29"/>
      <c r="O6" s="29"/>
    </row>
    <row r="7" spans="3:15" x14ac:dyDescent="0.25">
      <c r="C7" s="29" t="s">
        <v>55</v>
      </c>
      <c r="D7" s="30"/>
      <c r="E7" s="30"/>
      <c r="F7" s="30"/>
      <c r="G7" s="35"/>
      <c r="H7" s="30">
        <f t="shared" si="0"/>
        <v>0</v>
      </c>
      <c r="I7" s="31"/>
      <c r="J7" s="32"/>
      <c r="K7" s="33"/>
      <c r="L7" s="31"/>
      <c r="M7" s="34"/>
      <c r="N7" s="29"/>
      <c r="O7" s="29"/>
    </row>
    <row r="8" spans="3:15" x14ac:dyDescent="0.25">
      <c r="C8" s="29" t="s">
        <v>56</v>
      </c>
      <c r="D8" s="30"/>
      <c r="E8" s="30"/>
      <c r="F8" s="30"/>
      <c r="G8" s="30"/>
      <c r="H8" s="30">
        <f t="shared" si="0"/>
        <v>0</v>
      </c>
      <c r="I8" s="31"/>
      <c r="J8" s="32"/>
      <c r="K8" s="33"/>
      <c r="L8" s="31"/>
      <c r="M8" s="34"/>
      <c r="N8" s="29"/>
      <c r="O8" s="29"/>
    </row>
    <row r="9" spans="3:15" x14ac:dyDescent="0.25">
      <c r="C9" s="29" t="s">
        <v>57</v>
      </c>
      <c r="D9" s="30"/>
      <c r="E9" s="30"/>
      <c r="F9" s="30"/>
      <c r="G9" s="30"/>
      <c r="H9" s="30">
        <f t="shared" si="0"/>
        <v>0</v>
      </c>
      <c r="I9" s="31"/>
      <c r="J9" s="32"/>
      <c r="K9" s="33"/>
      <c r="L9" s="31"/>
      <c r="M9" s="34"/>
      <c r="N9" s="29"/>
      <c r="O9" s="29"/>
    </row>
    <row r="10" spans="3:15" x14ac:dyDescent="0.25">
      <c r="C10" s="29" t="s">
        <v>58</v>
      </c>
      <c r="D10" s="30"/>
      <c r="E10" s="30"/>
      <c r="F10" s="30"/>
      <c r="G10" s="30"/>
      <c r="H10" s="30">
        <f t="shared" si="0"/>
        <v>0</v>
      </c>
      <c r="I10" s="31"/>
      <c r="J10" s="32"/>
      <c r="K10" s="33"/>
      <c r="L10" s="31"/>
      <c r="M10" s="34"/>
      <c r="N10" s="29"/>
      <c r="O10" s="29"/>
    </row>
    <row r="11" spans="3:15" x14ac:dyDescent="0.25">
      <c r="C11" s="29" t="s">
        <v>59</v>
      </c>
      <c r="D11" s="30"/>
      <c r="E11" s="30"/>
      <c r="F11" s="30"/>
      <c r="G11" s="30"/>
      <c r="H11" s="30">
        <f t="shared" si="0"/>
        <v>0</v>
      </c>
      <c r="I11" s="31"/>
      <c r="J11" s="32"/>
      <c r="K11" s="33"/>
      <c r="L11" s="31"/>
      <c r="M11" s="34"/>
      <c r="N11" s="29"/>
      <c r="O11" s="29"/>
    </row>
    <row r="12" spans="3:15" ht="14.25" customHeight="1" x14ac:dyDescent="0.25">
      <c r="C12" s="29" t="s">
        <v>60</v>
      </c>
      <c r="D12" s="30"/>
      <c r="E12" s="30"/>
      <c r="F12" s="30"/>
      <c r="G12" s="30"/>
      <c r="H12" s="30">
        <f t="shared" si="0"/>
        <v>0</v>
      </c>
      <c r="I12" s="31"/>
      <c r="J12" s="32"/>
      <c r="K12" s="33"/>
      <c r="L12" s="31"/>
      <c r="M12" s="34"/>
      <c r="N12" s="29"/>
      <c r="O12" s="29"/>
    </row>
    <row r="13" spans="3:15" x14ac:dyDescent="0.25">
      <c r="C13" s="29" t="s">
        <v>61</v>
      </c>
      <c r="D13" s="30"/>
      <c r="E13" s="30"/>
      <c r="F13" s="30"/>
      <c r="G13" s="30"/>
      <c r="H13" s="30">
        <f t="shared" si="0"/>
        <v>0</v>
      </c>
      <c r="I13" s="31"/>
      <c r="J13" s="32"/>
      <c r="K13" s="33"/>
      <c r="L13" s="31"/>
      <c r="M13" s="34"/>
      <c r="N13" s="29"/>
      <c r="O13" s="29"/>
    </row>
    <row r="14" spans="3:15" x14ac:dyDescent="0.25">
      <c r="C14" s="29" t="s">
        <v>62</v>
      </c>
      <c r="D14" s="30"/>
      <c r="E14" s="30"/>
      <c r="F14" s="30"/>
      <c r="G14" s="30"/>
      <c r="H14" s="30">
        <f t="shared" si="0"/>
        <v>0</v>
      </c>
      <c r="I14" s="31"/>
      <c r="J14" s="32"/>
      <c r="K14" s="33"/>
      <c r="L14" s="31"/>
      <c r="M14" s="34"/>
      <c r="N14" s="29"/>
      <c r="O14" s="29"/>
    </row>
    <row r="15" spans="3:15" x14ac:dyDescent="0.25">
      <c r="C15" s="29" t="s">
        <v>63</v>
      </c>
      <c r="D15" s="30"/>
      <c r="E15" s="30"/>
      <c r="F15" s="30"/>
      <c r="G15" s="30"/>
      <c r="H15" s="30">
        <f t="shared" si="0"/>
        <v>0</v>
      </c>
      <c r="I15" s="31"/>
      <c r="J15" s="36"/>
      <c r="K15" s="31"/>
      <c r="L15" s="31"/>
      <c r="M15" s="34"/>
      <c r="N15" s="29"/>
      <c r="O15" s="29"/>
    </row>
    <row r="16" spans="3:15" x14ac:dyDescent="0.25">
      <c r="C16" s="37" t="s">
        <v>64</v>
      </c>
      <c r="D16" s="38">
        <f t="shared" ref="D16:E16" si="1">AVERAGE(D4:D15)</f>
        <v>516088</v>
      </c>
      <c r="E16" s="39">
        <f t="shared" si="1"/>
        <v>366713</v>
      </c>
      <c r="F16" s="39">
        <f>AVERAGE(F4:F15)</f>
        <v>45929</v>
      </c>
      <c r="G16" s="40">
        <f>AVERAGE(G4:G15)</f>
        <v>15535.5</v>
      </c>
      <c r="H16" s="40">
        <f>AVERAGE(H4:H15)</f>
        <v>22306.583333333332</v>
      </c>
      <c r="I16" s="39">
        <f>AVERAGE(I4:I15)</f>
        <v>20777</v>
      </c>
      <c r="J16" s="41">
        <f>AVERAGE(J4:J15)</f>
        <v>0</v>
      </c>
      <c r="K16" s="39">
        <f>AVERAGE(K4:K14)</f>
        <v>15</v>
      </c>
      <c r="L16" s="39">
        <f>AVERAGE(L4:L14)</f>
        <v>18249</v>
      </c>
      <c r="M16" s="42">
        <f>AVERAGE(M4:M15)</f>
        <v>1.6833333333333336</v>
      </c>
      <c r="N16" s="29"/>
      <c r="O16" s="29"/>
    </row>
    <row r="17" spans="3:23" x14ac:dyDescent="0.25">
      <c r="C17" s="29"/>
      <c r="D17" s="29"/>
      <c r="E17" s="29"/>
      <c r="F17" s="29"/>
      <c r="G17" s="30"/>
      <c r="H17" s="30"/>
      <c r="I17" s="31"/>
      <c r="J17" s="36"/>
      <c r="K17" s="31"/>
      <c r="L17" s="31"/>
      <c r="M17" s="1"/>
      <c r="N17" s="29"/>
      <c r="O17" s="29"/>
    </row>
    <row r="18" spans="3:23" x14ac:dyDescent="0.25">
      <c r="C18" s="29" t="s">
        <v>65</v>
      </c>
      <c r="D18" s="30">
        <f>SUM(D4:D15)</f>
        <v>1032176</v>
      </c>
      <c r="E18" s="30">
        <f>SUM(E4:E15)</f>
        <v>733426</v>
      </c>
      <c r="F18" s="30">
        <f t="shared" ref="F18:M18" si="2">SUM(F4:F15)</f>
        <v>91858</v>
      </c>
      <c r="G18" s="30">
        <f t="shared" si="2"/>
        <v>31071</v>
      </c>
      <c r="H18" s="30">
        <f t="shared" si="2"/>
        <v>267679</v>
      </c>
      <c r="I18" s="31">
        <f t="shared" si="2"/>
        <v>20777</v>
      </c>
      <c r="J18" s="36">
        <f t="shared" si="2"/>
        <v>0</v>
      </c>
      <c r="K18" s="31">
        <f t="shared" si="2"/>
        <v>15</v>
      </c>
      <c r="L18" s="31">
        <f t="shared" si="2"/>
        <v>18249</v>
      </c>
      <c r="M18" s="34">
        <f t="shared" si="2"/>
        <v>3.3666666666666671</v>
      </c>
      <c r="N18" s="29"/>
      <c r="O18" s="29"/>
    </row>
    <row r="20" spans="3:23" x14ac:dyDescent="0.25">
      <c r="C20" s="29" t="s">
        <v>66</v>
      </c>
      <c r="D20" s="30">
        <f>E18-D18</f>
        <v>-298750</v>
      </c>
    </row>
    <row r="21" spans="3:23" x14ac:dyDescent="0.25"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3:23" x14ac:dyDescent="0.25"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spans="3:23" ht="16.5" thickBot="1" x14ac:dyDescent="0.3"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3:23" ht="16.5" thickTop="1" x14ac:dyDescent="0.25">
      <c r="C24" s="44"/>
      <c r="D24" s="45" t="s">
        <v>67</v>
      </c>
      <c r="E24" s="45" t="s">
        <v>68</v>
      </c>
      <c r="F24" s="45" t="s">
        <v>69</v>
      </c>
      <c r="G24" s="45" t="s">
        <v>70</v>
      </c>
      <c r="H24" s="45" t="s">
        <v>71</v>
      </c>
      <c r="I24" s="46" t="s">
        <v>72</v>
      </c>
      <c r="J24" s="47" t="s">
        <v>73</v>
      </c>
      <c r="K24" s="48" t="s">
        <v>74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3:23" x14ac:dyDescent="0.25">
      <c r="C25" s="49" t="s">
        <v>52</v>
      </c>
      <c r="D25" s="30"/>
      <c r="E25" s="30"/>
      <c r="F25" s="30"/>
      <c r="G25" s="50"/>
      <c r="H25" s="50"/>
      <c r="I25" s="36"/>
      <c r="J25" s="51"/>
      <c r="K25" s="52"/>
      <c r="N25" s="2"/>
      <c r="O25" s="2"/>
      <c r="P25" s="35"/>
      <c r="Q25" s="35"/>
      <c r="R25" s="35"/>
      <c r="S25" s="35"/>
      <c r="T25" s="35"/>
      <c r="U25" s="35"/>
      <c r="V25" s="35"/>
      <c r="W25" s="35"/>
    </row>
    <row r="26" spans="3:23" x14ac:dyDescent="0.25">
      <c r="C26" s="49" t="s">
        <v>53</v>
      </c>
      <c r="D26" s="30"/>
      <c r="E26" s="30"/>
      <c r="F26" s="30"/>
      <c r="G26" s="50"/>
      <c r="H26" s="50"/>
      <c r="I26" s="36"/>
      <c r="J26" s="51"/>
      <c r="K26" s="52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3:23" x14ac:dyDescent="0.25">
      <c r="C27" s="49" t="s">
        <v>54</v>
      </c>
      <c r="D27" s="30"/>
      <c r="E27" s="30"/>
      <c r="F27" s="30"/>
      <c r="G27" s="50"/>
      <c r="H27" s="50"/>
      <c r="I27" s="36"/>
      <c r="J27" s="51"/>
      <c r="K27" s="52"/>
      <c r="N27" s="35"/>
      <c r="O27" s="35"/>
      <c r="P27" s="53"/>
      <c r="Q27" s="53"/>
      <c r="R27" s="53"/>
      <c r="S27" s="53"/>
      <c r="T27" s="53"/>
      <c r="U27" s="53"/>
      <c r="V27" s="53"/>
      <c r="W27" s="53"/>
    </row>
    <row r="28" spans="3:23" x14ac:dyDescent="0.25">
      <c r="C28" s="49" t="s">
        <v>55</v>
      </c>
      <c r="D28" s="30"/>
      <c r="E28" s="30"/>
      <c r="F28" s="30"/>
      <c r="G28" s="50"/>
      <c r="H28" s="50"/>
      <c r="I28" s="36"/>
      <c r="J28" s="51"/>
      <c r="K28" s="52"/>
      <c r="N28" s="35"/>
      <c r="O28" s="35"/>
    </row>
    <row r="29" spans="3:23" x14ac:dyDescent="0.25">
      <c r="C29" s="49" t="s">
        <v>56</v>
      </c>
      <c r="D29" s="30"/>
      <c r="E29" s="30"/>
      <c r="F29" s="30"/>
      <c r="G29" s="50"/>
      <c r="H29" s="50"/>
      <c r="I29" s="36"/>
      <c r="J29" s="51"/>
      <c r="K29" s="52"/>
      <c r="N29" s="35"/>
      <c r="O29" s="35"/>
    </row>
    <row r="30" spans="3:23" x14ac:dyDescent="0.25">
      <c r="C30" s="49" t="s">
        <v>57</v>
      </c>
      <c r="D30" s="30"/>
      <c r="E30" s="30"/>
      <c r="F30" s="30"/>
      <c r="G30" s="50"/>
      <c r="H30" s="50"/>
      <c r="I30" s="36"/>
      <c r="J30" s="51"/>
      <c r="K30" s="52"/>
      <c r="N30" s="35"/>
      <c r="O30" s="35"/>
    </row>
    <row r="31" spans="3:23" x14ac:dyDescent="0.25">
      <c r="C31" s="49" t="s">
        <v>58</v>
      </c>
      <c r="D31" s="30"/>
      <c r="E31" s="30"/>
      <c r="F31" s="30"/>
      <c r="G31" s="50"/>
      <c r="H31" s="50"/>
      <c r="I31" s="36"/>
      <c r="J31" s="51"/>
      <c r="K31" s="52"/>
      <c r="N31" s="53"/>
      <c r="O31" s="53"/>
    </row>
    <row r="32" spans="3:23" x14ac:dyDescent="0.25">
      <c r="C32" s="49" t="s">
        <v>59</v>
      </c>
      <c r="D32" s="30"/>
      <c r="E32" s="30"/>
      <c r="F32" s="30"/>
      <c r="G32" s="50"/>
      <c r="H32" s="50"/>
      <c r="I32" s="36"/>
      <c r="J32" s="51"/>
      <c r="K32" s="52"/>
    </row>
    <row r="33" spans="3:11" x14ac:dyDescent="0.25">
      <c r="C33" s="49" t="s">
        <v>60</v>
      </c>
      <c r="D33" s="30"/>
      <c r="E33" s="30"/>
      <c r="F33" s="30"/>
      <c r="G33" s="50"/>
      <c r="H33" s="50"/>
      <c r="I33" s="36"/>
      <c r="J33" s="51"/>
      <c r="K33" s="52"/>
    </row>
    <row r="34" spans="3:11" x14ac:dyDescent="0.25">
      <c r="C34" s="49" t="s">
        <v>61</v>
      </c>
      <c r="D34" s="30"/>
      <c r="E34" s="30"/>
      <c r="F34" s="30"/>
      <c r="G34" s="50"/>
      <c r="H34" s="50"/>
      <c r="I34" s="36"/>
      <c r="J34" s="51"/>
      <c r="K34" s="52"/>
    </row>
    <row r="35" spans="3:11" x14ac:dyDescent="0.25">
      <c r="C35" s="49" t="s">
        <v>62</v>
      </c>
      <c r="D35" s="30"/>
      <c r="E35" s="30"/>
      <c r="F35" s="30"/>
      <c r="G35" s="50"/>
      <c r="H35" s="50"/>
      <c r="I35" s="36"/>
      <c r="J35" s="51"/>
      <c r="K35" s="52"/>
    </row>
    <row r="36" spans="3:11" x14ac:dyDescent="0.25">
      <c r="C36" s="49" t="s">
        <v>63</v>
      </c>
      <c r="D36" s="30"/>
      <c r="E36" s="30"/>
      <c r="F36" s="30"/>
      <c r="G36" s="50"/>
      <c r="H36" s="50"/>
      <c r="I36" s="36"/>
      <c r="J36" s="51"/>
      <c r="K36" s="52"/>
    </row>
    <row r="37" spans="3:11" x14ac:dyDescent="0.25">
      <c r="C37" s="54" t="s">
        <v>75</v>
      </c>
      <c r="D37" s="55"/>
      <c r="E37" s="56"/>
      <c r="F37" s="56"/>
      <c r="G37" s="57"/>
      <c r="H37" s="50"/>
      <c r="I37" s="58"/>
      <c r="J37" s="59"/>
      <c r="K37" s="60"/>
    </row>
    <row r="38" spans="3:11" ht="16.5" thickBot="1" x14ac:dyDescent="0.3">
      <c r="C38" s="61" t="s">
        <v>76</v>
      </c>
      <c r="D38" s="62">
        <f>SUM(D25:D36)</f>
        <v>0</v>
      </c>
      <c r="E38" s="62">
        <f t="shared" ref="E38:J38" si="3">SUM(E25:E36)</f>
        <v>0</v>
      </c>
      <c r="F38" s="62">
        <f t="shared" si="3"/>
        <v>0</v>
      </c>
      <c r="G38" s="63">
        <f t="shared" si="3"/>
        <v>0</v>
      </c>
      <c r="H38" s="63">
        <f t="shared" si="3"/>
        <v>0</v>
      </c>
      <c r="I38" s="62">
        <f t="shared" si="3"/>
        <v>0</v>
      </c>
      <c r="J38" s="64">
        <f t="shared" si="3"/>
        <v>0</v>
      </c>
      <c r="K38" s="65">
        <f>SUM(K25:K37)</f>
        <v>0</v>
      </c>
    </row>
    <row r="39" spans="3:11" ht="16.5" thickTop="1" x14ac:dyDescent="0.25"/>
  </sheetData>
  <conditionalFormatting sqref="F25:F37">
    <cfRule type="cellIs" dxfId="1" priority="1" operator="lessThan">
      <formula>0</formula>
    </cfRule>
    <cfRule type="cellIs" dxfId="0" priority="2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Template</vt:lpstr>
      <vt:lpstr>Jan</vt:lpstr>
      <vt:lpstr>Feb</vt:lpstr>
      <vt:lpstr>March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Hays</dc:creator>
  <cp:lastModifiedBy>Ann Hays</cp:lastModifiedBy>
  <cp:lastPrinted>2026-01-22T16:12:10Z</cp:lastPrinted>
  <dcterms:created xsi:type="dcterms:W3CDTF">2025-12-09T13:54:30Z</dcterms:created>
  <dcterms:modified xsi:type="dcterms:W3CDTF">2026-02-20T12:25:24Z</dcterms:modified>
</cp:coreProperties>
</file>